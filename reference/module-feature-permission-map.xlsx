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Roles\.claude\worktrees\exciting-bhaskara-652ec0\reference\"/>
    </mc:Choice>
  </mc:AlternateContent>
  <xr:revisionPtr revIDLastSave="0" documentId="13_ncr:1_{7B5FFE65-8994-42DE-B424-F1A00E19EE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ad me" sheetId="1" r:id="rId1"/>
    <sheet name="Module - Feature - Permission" sheetId="2" r:id="rId2"/>
    <sheet name="Role x Permission" sheetId="3" r:id="rId3"/>
    <sheet name="Grant x Permission" sheetId="4" r:id="rId4"/>
    <sheet name="Legacy tag audit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6" i="5" l="1"/>
  <c r="B125" i="5"/>
  <c r="B124" i="5"/>
  <c r="H54" i="4"/>
  <c r="G54" i="4"/>
  <c r="F54" i="4"/>
  <c r="E54" i="4"/>
  <c r="I54" i="3"/>
  <c r="H54" i="3"/>
  <c r="G54" i="3"/>
  <c r="F54" i="3"/>
  <c r="E54" i="3"/>
  <c r="C55" i="2"/>
</calcChain>
</file>

<file path=xl/sharedStrings.xml><?xml version="1.0" encoding="utf-8"?>
<sst xmlns="http://schemas.openxmlformats.org/spreadsheetml/2006/main" count="2136" uniqueCount="605">
  <si>
    <t>User Center — Roles &amp; Permissions (v2): module → feature → permission → role/grant lookup</t>
  </si>
  <si>
    <t>Generated 2026-08-13 · owner: Mihir Sethi (APM, DigitalPaani) · read-only reference — to change anything, change the model and rerun reference/generate-map-workbook.py</t>
  </si>
  <si>
    <t>THE ONE RULE:  effective access at a plant = the person's permission AND the plant's licensed module. Modules cap; roles default; per-person reasoned exceptions flex.</t>
  </si>
  <si>
    <t>Decisions this workbook already reflects:</t>
  </si>
  <si>
    <t xml:space="preserve">  • One role per user, account-wide (2026-07-30). A role describes the person, not a plant — there is no per-plant role anywhere.</t>
  </si>
  <si>
    <t xml:space="preserve">  • Custom roles are REMOVED (2026-08-13). None will be created; no admin — People Admins included — can create or apply one. The 5 roles + 4 grants in this workbook are the complete, permanent role vocabulary.</t>
  </si>
  <si>
    <t xml:space="preserve">  • No bulk role changes. Plant-wide bulk = add people to a plant's access list + add/remove individual permissions as per-person exceptions.</t>
  </si>
  <si>
    <t>Sheets:</t>
  </si>
  <si>
    <t xml:space="preserve">  2 · Module - Feature - Permission — every product module, the features it includes, and the v2 permission tag behind each; plus which roles/grants hold it by default and which legacy DB tags map into it (blank = net-new in v2).</t>
  </si>
  <si>
    <t xml:space="preserve">  3 · Role x Permission — the 5 fixed roles as a tick matrix over all 51 v2 permissions.</t>
  </si>
  <si>
    <t xml:space="preserve">  4 · Grant x Permission — the 4 admin grants the same way. Global Admin is the superuser: every set, including the 3 exception permissions.</t>
  </si>
  <si>
    <t xml:space="preserve">  5 · Legacy tag audit — all 121 permission tags from the production database, each mapped to its v2 home, with every tag that does NOT carry into v2 flagged (deleted / retired / platform baseline).</t>
  </si>
  <si>
    <t>Reading notes:</t>
  </si>
  <si>
    <t xml:space="preserve">  • The 3 exception permissions (remote.actuate, flags.impersonate, flags.sensorhealth) are in NO role. They are granted one person / one plant / one written reason at a time — Global Admin alone holds them implicitly.</t>
  </si>
  <si>
    <t xml:space="preserve">  • A ✓ in the matrices is the DEFAULT. Per-person overrides can add or remove any line at a plant, with a mandatory reason — that is the only flexibility mechanism.</t>
  </si>
  <si>
    <t xml:space="preserve">  • Every permission still needs its module licensed at the plant to actually work (see the Module column on each sheet).</t>
  </si>
  <si>
    <t xml:space="preserve">  • Floc Detector is a hardware entitlement with zero permissions — it appears on sheet 2 for completeness.</t>
  </si>
  <si>
    <t>Sources: index.html (SETS/ROLES/GRANTS/MODULES — extracted live), coverage-map.csv (the authoritative 121-tag mapping), data/Permissions.json + Features.json + Modules.json (production DB export, local-only — kept out of the public repo).</t>
  </si>
  <si>
    <t>Deprecation-flag detail (which kept tags sit behind an L-* sunset flag) lives in reference/role-permission-migration-map.xlsx.</t>
  </si>
  <si>
    <t>Product module</t>
  </si>
  <si>
    <t>Feature it includes</t>
  </si>
  <si>
    <t>v2 permission tag</t>
  </si>
  <si>
    <t>Permission (plain language)</t>
  </si>
  <si>
    <t>Permission set</t>
  </si>
  <si>
    <t>In roles by default</t>
  </si>
  <si>
    <t>In grants</t>
  </si>
  <si>
    <t>Legacy DB tags mapped here</t>
  </si>
  <si>
    <t>🧩 Platform Core (core) — always included</t>
  </si>
  <si>
    <t>Plant dashboard &amp; issue log</t>
  </si>
  <si>
    <t>readplant.dash</t>
  </si>
  <si>
    <t>Plant view &amp; everyday work</t>
  </si>
  <si>
    <t>L1 Operator, L3 Lead, L4 Senior Lead, Regular Non-op, Senior Non-op</t>
  </si>
  <si>
    <t>Global Admin</t>
  </si>
  <si>
    <t>DashboardPage_View_R</t>
  </si>
  <si>
    <t>Users &amp; access management</t>
  </si>
  <si>
    <t>people.invite</t>
  </si>
  <si>
    <t>Invite / edit / offboard users</t>
  </si>
  <si>
    <t>People management</t>
  </si>
  <si>
    <t>— none (exception grant: one person, one plant, one reason)</t>
  </si>
  <si>
    <t>People Admin, Full Site Admin, Global Admin</t>
  </si>
  <si>
    <t>Add-EditUser_Configuration_AE · DeleteUser_Manage_D</t>
  </si>
  <si>
    <t>people.grants</t>
  </si>
  <si>
    <t>Assign / revoke roles &amp; grants</t>
  </si>
  <si>
    <t>PermissionsList_View_R · RoleList_View_R</t>
  </si>
  <si>
    <t>people.groups</t>
  </si>
  <si>
    <t>Plant rosters &amp; directories</t>
  </si>
  <si>
    <t>Group_Configuration_WE · Group_Manage_A · Group_Manage_D · Group_View_R · Workspace_Configuration_WE · Workspace_Manage_A · Workspace_View_R</t>
  </si>
  <si>
    <t>people.skills</t>
  </si>
  <si>
    <t>Skills &amp; competencies</t>
  </si>
  <si>
    <t>SkillManagement_Manage_A · SkillManagement_Manage_D · SkillManagement_View_R</t>
  </si>
  <si>
    <t>people.notif</t>
  </si>
  <si>
    <t>Per-user notification overrides</t>
  </si>
  <si>
    <t>— net-new in v2 (no legacy tag)</t>
  </si>
  <si>
    <t>people.audit</t>
  </si>
  <si>
    <t>Directory &amp; audit-log export</t>
  </si>
  <si>
    <t>UserList_View_R</t>
  </si>
  <si>
    <t>Plant &amp; site setup</t>
  </si>
  <si>
    <t>tech.plant</t>
  </si>
  <si>
    <t>Plant details, layout, lab &amp; test setup</t>
  </si>
  <si>
    <t>Plant configuration</t>
  </si>
  <si>
    <t>Technical Admin, Full Site Admin, Global Admin</t>
  </si>
  <si>
    <t>PlantDetails_Configuration_WE · PlantLabTestResults_Configuration_WE · PlantLayout_Configuration_WE · WaterQualityTestResults_Configuration_WE</t>
  </si>
  <si>
    <t>tech.sitetpl</t>
  </si>
  <si>
    <t>Site templates (task, event, insight, logbook, data-input)</t>
  </si>
  <si>
    <t>AlertTask_Templating_WE · DataInputTemplate_Manage_A · DataInputTemplate_Manage_D · DataInputTemplate_View_R · EventTemplate_Manage_A · EventTemplate_View_R · FixedTask_Templating_WE · InsightTemplate_Manage_A · InsightTemplate_Manage_D · InsightTemplate_View_R · LogbookConfiguration_Manage_A · LogbookConfiguration_Manage_D · LogbookConfiguration_View_R · LogbookTemplate_Manage_A · LogbookTemplate_Manage_D · LogbookTemplate_View_R · TaskTemplate_Manage_A · TaskTemplate_Manage_D · TaskTemplate_View_R</t>
  </si>
  <si>
    <t>Global governance (DigitalPaani staff)</t>
  </si>
  <si>
    <t>templates.library</t>
  </si>
  <si>
    <t>Global template &amp; role governance (system task/trigger/workflow)</t>
  </si>
  <si>
    <t>Global templates</t>
  </si>
  <si>
    <t>SystemRole_Manage_WE · TaskTemplateSystem_Manage_A · TaskTemplateSystem_Manage_D · TriggerSystem_Manage_A · TriggerSystem_Manage_D · WorkflowSystem_Manage_A · WorkflowSystem_Manage_D</t>
  </si>
  <si>
    <t>templates.publish</t>
  </si>
  <si>
    <t>Publish versions to all sites</t>
  </si>
  <si>
    <t>templates.onboard</t>
  </si>
  <si>
    <t>Onboard sites, plants &amp; company list</t>
  </si>
  <si>
    <t>Company_Configuration_WE · PlantsList_Manage_A · PlantsList_Manage_D · PlantsList_Manage_E</t>
  </si>
  <si>
    <t>View-as / impersonation — EXCEPTION grant</t>
  </si>
  <si>
    <t>flags.impersonate</t>
  </si>
  <si>
    <t>View-as / impersonation</t>
  </si>
  <si>
    <t>Exception flags</t>
  </si>
  <si>
    <t>ViewAsUser_View_R</t>
  </si>
  <si>
    <t>🔧 Issue Resolution (ops)</t>
  </si>
  <si>
    <t>Issue sessions &amp; guided diagnostics</t>
  </si>
  <si>
    <t>work.sessions</t>
  </si>
  <si>
    <t>Own issue sessions &amp; run diagnostic steps</t>
  </si>
  <si>
    <t>Work execution</t>
  </si>
  <si>
    <t>L1 Operator, L3 Lead, L4 Senior Lead</t>
  </si>
  <si>
    <t>AutoGenerateTickets_View_R</t>
  </si>
  <si>
    <t>work.rc</t>
  </si>
  <si>
    <t>Submit root cause &amp; remediation</t>
  </si>
  <si>
    <t>work.media</t>
  </si>
  <si>
    <t>Photo / video capture during steps</t>
  </si>
  <si>
    <t>work.raise</t>
  </si>
  <si>
    <t>Raise manual issues</t>
  </si>
  <si>
    <t>ManualTickets_Configuration_WE · ManualTickets_Usage_WE</t>
  </si>
  <si>
    <t>work.handoff</t>
  </si>
  <si>
    <t>Hand off / take over sessions</t>
  </si>
  <si>
    <t>Approvals &amp; closure</t>
  </si>
  <si>
    <t>approve.gates</t>
  </si>
  <si>
    <t>Approve / reject gates (RC, remediation, close)</t>
  </si>
  <si>
    <t>L3 Lead, L4 Senior Lead</t>
  </si>
  <si>
    <t>approve.selfapprove</t>
  </si>
  <si>
    <t>Self-approve own RC / manual close</t>
  </si>
  <si>
    <t>approve.forceclose</t>
  </si>
  <si>
    <t>Force-close (co-sign needed for auto issues)</t>
  </si>
  <si>
    <t>approve.reopen</t>
  </si>
  <si>
    <t>Reopen issues &amp; change root cause</t>
  </si>
  <si>
    <t>approve.override</t>
  </si>
  <si>
    <t>Photo override</t>
  </si>
  <si>
    <t>Multi-plant ops oversight</t>
  </si>
  <si>
    <t>oversight.multiws</t>
  </si>
  <si>
    <t>Multi-plant view</t>
  </si>
  <si>
    <t>Multi-plant oversight</t>
  </si>
  <si>
    <t>L4 Senior Lead</t>
  </si>
  <si>
    <t>oversight.cosign</t>
  </si>
  <si>
    <t>Eligible co-signer for force-close</t>
  </si>
  <si>
    <t>oversight.deadline</t>
  </si>
  <si>
    <t>Deadline-only escalation alerts</t>
  </si>
  <si>
    <t>Issue rules, flows &amp; escalation config</t>
  </si>
  <si>
    <t>tech.rules</t>
  </si>
  <si>
    <t>Issue / task / trigger rules &amp; schedules</t>
  </si>
  <si>
    <t>AlertTask_Configuration_W · FixedTask_Configuration_WE · Trigger_Manage_A · Trigger_Manage_D · Trigger_View_R</t>
  </si>
  <si>
    <t>tech.flows</t>
  </si>
  <si>
    <t>Diagnostic flows &amp; workflows</t>
  </si>
  <si>
    <t>Workflow_Manage_A · Workflow_Manage_D · Workflow_View_R</t>
  </si>
  <si>
    <t>tech.routing</t>
  </si>
  <si>
    <t>Notification routing, SLAs, escalation &amp; auto email</t>
  </si>
  <si>
    <t>PlantEscalation_Configuration_WE · UnifiedDashboardAutoEmail_Manage_WE</t>
  </si>
  <si>
    <t>📋 Tasks &amp; Shifts (tasks)</t>
  </si>
  <si>
    <t>Everyday tasks, shifts &amp; history</t>
  </si>
  <si>
    <t>readplant.tasks</t>
  </si>
  <si>
    <t>Execute fixed, alert &amp; one-time tasks</t>
  </si>
  <si>
    <t>TaskPage_Usage_W · Tasks_View_R</t>
  </si>
  <si>
    <t>readplant.myshift</t>
  </si>
  <si>
    <t>See my shifts &amp; roster</t>
  </si>
  <si>
    <t>readplant.history</t>
  </si>
  <si>
    <t>Equipment &amp; task history</t>
  </si>
  <si>
    <t>Task &amp; insight assignment</t>
  </si>
  <si>
    <t>approve.assign</t>
  </si>
  <si>
    <t>Create &amp; assign one-off tasks and insights</t>
  </si>
  <si>
    <t>Insights_Manage_A · OneTimeTask_Configuration_W · Tasks_Manage_A · Tasks_Manage_D</t>
  </si>
  <si>
    <t>approve.shiftview</t>
  </si>
  <si>
    <t>View all tasks &amp; entries at the plant</t>
  </si>
  <si>
    <t>Rosters &amp; schedules</t>
  </si>
  <si>
    <t>people.rosters</t>
  </si>
  <si>
    <t>Rosters &amp; shift schedules</t>
  </si>
  <si>
    <t>RosterManagement_Manage_A · RosterManagement_Manage_D · RosterManagement_View_R</t>
  </si>
  <si>
    <t>🧪 Data, Lab &amp; Logbook (data)</t>
  </si>
  <si>
    <t>Data, lab, water-quality &amp; logbook entry</t>
  </si>
  <si>
    <t>readplant.data</t>
  </si>
  <si>
    <t>DataInputBackdate_Usage_AE · DataInputDetails_View_R · DataInputUse_Manage_A · DataInputUse_View_R · LogbookDataInput_Usage_WE · PlantLabTestResults_Usage_W · WaterQualityTestResults_Usage_W</t>
  </si>
  <si>
    <t>Data correction (supervisor)</t>
  </si>
  <si>
    <t>approve.datacorrect</t>
  </si>
  <si>
    <t>Data correction — edit recorded entries (supersedes back-date)</t>
  </si>
  <si>
    <t>DataCorrection_Manage_WE</t>
  </si>
  <si>
    <t>Site analytics formulas</t>
  </si>
  <si>
    <t>tech.formulas</t>
  </si>
  <si>
    <t>Formula_Configuration_WE</t>
  </si>
  <si>
    <t>📊 Dashboards &amp; Analytics (analytics)</t>
  </si>
  <si>
    <t>Plant analytics views</t>
  </si>
  <si>
    <t>readplant.layout</t>
  </si>
  <si>
    <t>Plant layout / digital twin</t>
  </si>
  <si>
    <t>Bi-Direction_Usage_W · PlantLayout_View_R</t>
  </si>
  <si>
    <t>readplant.insights</t>
  </si>
  <si>
    <t>Insights &amp; events lists</t>
  </si>
  <si>
    <t>Events_View_R · Insights_View_R · UnifiedDashboardPageEvents_Usage_R</t>
  </si>
  <si>
    <t>readplant.reports</t>
  </si>
  <si>
    <t>Reports, downloads &amp; dashboard batches</t>
  </si>
  <si>
    <t>UnifiedDashboardPageBatch_Usage_R · UnifiedDashboardReport_Usage_R</t>
  </si>
  <si>
    <t>Portfolio views</t>
  </si>
  <si>
    <t>portfolio.overview</t>
  </si>
  <si>
    <t>Portfolio overview &amp; plants list</t>
  </si>
  <si>
    <t>Portfolio visibility</t>
  </si>
  <si>
    <t>L4 Senior Lead, Senior Non-op</t>
  </si>
  <si>
    <t>PlantsList_View_R · UnifiedDashboardPage_View_R</t>
  </si>
  <si>
    <t>portfolio.compare</t>
  </si>
  <si>
    <t>Compare plants &amp; companies</t>
  </si>
  <si>
    <t>Dashboard configuration</t>
  </si>
  <si>
    <t>tech.dashcfg</t>
  </si>
  <si>
    <t>Dashboards &amp; widgets (plant + unified)</t>
  </si>
  <si>
    <t>DashboardList_Manage_AE · DashboardPage_Configuration_WE · UnifiedDashboardList_Manage_AE · UnifiedDashboardPage_Configuration_WE</t>
  </si>
  <si>
    <t>📡 IoT &amp; Remote Control (iot)</t>
  </si>
  <si>
    <t>Remote actuation — SENSITIVE, EXCEPTION grant</t>
  </si>
  <si>
    <t>remote.actuate</t>
  </si>
  <si>
    <t>Remote control / bi-direction — actuate equipment</t>
  </si>
  <si>
    <t>IoT remote control</t>
  </si>
  <si>
    <t>RemoteControl_Usage</t>
  </si>
  <si>
    <t>Sensors &amp; hardware configuration</t>
  </si>
  <si>
    <t>tech.sensors</t>
  </si>
  <si>
    <t>Sensors &amp; thresholds</t>
  </si>
  <si>
    <t>SensorDetails_Configuration_WE · Sensor_Configuration_WE</t>
  </si>
  <si>
    <t>tech.iot</t>
  </si>
  <si>
    <t>PLC / data logger</t>
  </si>
  <si>
    <t>DataLogger_Configuration · PLC_Manage_AE · PLC_Manage_D · PLC_Manage_R</t>
  </si>
  <si>
    <t>Sensor health dashboard — EXCEPTION grant</t>
  </si>
  <si>
    <t>flags.sensorhealth</t>
  </si>
  <si>
    <t>Sensor health dashboard</t>
  </si>
  <si>
    <t>SensorHealth_View_R</t>
  </si>
  <si>
    <t>🧯 Inventory Management (inv)</t>
  </si>
  <si>
    <t>Stock operations (operator)</t>
  </si>
  <si>
    <t>work.inventory</t>
  </si>
  <si>
    <t>Add / remove inventory items (usage, expiry, purchase)</t>
  </si>
  <si>
    <t>StoreManagement_Usage_WE</t>
  </si>
  <si>
    <t>Movement log (supervisor)</t>
  </si>
  <si>
    <t>approve.invlogs</t>
  </si>
  <si>
    <t>Inventory item logs — every movement at the plant</t>
  </si>
  <si>
    <t>StoreManagement_Manage_WE</t>
  </si>
  <si>
    <t>Store &amp; catalog setup</t>
  </si>
  <si>
    <t>tech.stores</t>
  </si>
  <si>
    <t>Store &amp; item catalog setup</t>
  </si>
  <si>
    <t>StoreConfiguration_Configuration_WE</t>
  </si>
  <si>
    <t>🔬 Floc Detector (floc)</t>
  </si>
  <si>
    <t>Hardware add-on — floc detection at the plant</t>
  </si>
  <si>
    <t>—</t>
  </si>
  <si>
    <t>No user permissions. Plant-level entitlement only, so contracts track what hardware was sold; never caps or grants anything user-side.</t>
  </si>
  <si>
    <t>v2 permissions listed (formula):</t>
  </si>
  <si>
    <t>Expected 51 — from index.html SETS (10 sets). 'Legacy DB tags mapped here' comes from coverage-map.csv; blank/net-new lines are the genuinely new capabilities (approvals, oversight co-sign, remote actuation, data correction, store setup, sensor health…).</t>
  </si>
  <si>
    <t>L1 Operator</t>
  </si>
  <si>
    <t>L3 Lead</t>
  </si>
  <si>
    <t>Regular Non-op</t>
  </si>
  <si>
    <t>Senior Non-op</t>
  </si>
  <si>
    <t>Issue Resolution</t>
  </si>
  <si>
    <t>✓</t>
  </si>
  <si>
    <t>Inventory Management</t>
  </si>
  <si>
    <t>Tasks &amp; Shifts</t>
  </si>
  <si>
    <t>Data, Lab &amp; Logbook</t>
  </si>
  <si>
    <t>IoT &amp; Remote Control</t>
  </si>
  <si>
    <t>Platform Core</t>
  </si>
  <si>
    <t>Dashboards &amp; Analytics</t>
  </si>
  <si>
    <t>Permissions granted by default (formula per column):</t>
  </si>
  <si>
    <t>One role per person, account-wide (2026-07-30). A ✓ is the role's default; every line still needs its module licensed at the plant. The amber rows (IoT remote control, exception flags) are in NO role — they are per-person exception grants. Per-person overrides may add/remove lines at a plant with a written reason; dependency rules: approve needs work, oversight needs approve, portfolio needs readplant.</t>
  </si>
  <si>
    <t>People Admin</t>
  </si>
  <si>
    <t>Technical Admin</t>
  </si>
  <si>
    <t>Full Site Admin</t>
  </si>
  <si>
    <t>A grant sits ON TOP of the role and adds administration only; max one grant per person. Full Site = People + Technical. Global Admin is the superuser (2026-07-22): all 10 sets at every plant, INCLUDING the 3 exception permissions — the one holder for whom they are automatic. There are no custom roles (removed 2026-08-13): these four grants plus the five roles are the entire vocabulary.</t>
  </si>
  <si>
    <t>Legacy permission tag (DB)</t>
  </si>
  <si>
    <t>DB name</t>
  </si>
  <si>
    <t>Legacy module (DB)</t>
  </si>
  <si>
    <t>Legacy feature (DB)</t>
  </si>
  <si>
    <t>v2 home</t>
  </si>
  <si>
    <t>Carried into v2?</t>
  </si>
  <si>
    <t>Left-out category</t>
  </si>
  <si>
    <t>Ruling / note (coverage-map.csv)</t>
  </si>
  <si>
    <t>AIWidgetGenerator_Manage_A</t>
  </si>
  <si>
    <t>Manage AI Widget Generator</t>
  </si>
  <si>
    <t>Gen AI</t>
  </si>
  <si>
    <t>DELETED</t>
  </si>
  <si>
    <t>NO — LEFT OUT</t>
  </si>
  <si>
    <t>Feature deleted outright (owner ruling — see note)</t>
  </si>
  <si>
    <t>owner ruling 2026-07-22: AI widget generator feature deleted — tech.ai retired</t>
  </si>
  <si>
    <t>Add-EditUser_Configuration_AE</t>
  </si>
  <si>
    <t>Add-EditUser Configuration</t>
  </si>
  <si>
    <t>User Management</t>
  </si>
  <si>
    <t>Add-Edit User</t>
  </si>
  <si>
    <t>YES</t>
  </si>
  <si>
    <t>covered</t>
  </si>
  <si>
    <t>AlertTask_Configuration_W</t>
  </si>
  <si>
    <t>Configure Alert Task</t>
  </si>
  <si>
    <t>Plant Configuration</t>
  </si>
  <si>
    <t>Alert Task</t>
  </si>
  <si>
    <t>AlertTask_Templating_WE</t>
  </si>
  <si>
    <t>Create Alert Task Templates</t>
  </si>
  <si>
    <t>GAP-FIXED</t>
  </si>
  <si>
    <t>View Auto Generate Tickets</t>
  </si>
  <si>
    <t>Tickets</t>
  </si>
  <si>
    <t>Auto Generate Tickets</t>
  </si>
  <si>
    <t>Bi-Direction_Usage_W</t>
  </si>
  <si>
    <t>Use Bi-Direction</t>
  </si>
  <si>
    <t>Visualisation &amp; Bi-Direction</t>
  </si>
  <si>
    <t>Bi-Direction</t>
  </si>
  <si>
    <t>RE-MAPPED 2026-07-22: tag gates viewing the NEW visualization — not actuation; real bi-directional control must ship as a new remote.actuate permission</t>
  </si>
  <si>
    <t>Check-in_Usage_WE</t>
  </si>
  <si>
    <t>Check-in</t>
  </si>
  <si>
    <t>Authorization</t>
  </si>
  <si>
    <t>owner ruling 2026-07-22: check-in feature deleted — no v2 home</t>
  </si>
  <si>
    <t>Company_Configuration_WE</t>
  </si>
  <si>
    <t>Company Configuration</t>
  </si>
  <si>
    <t>Company List Configuration</t>
  </si>
  <si>
    <t>Company List</t>
  </si>
  <si>
    <t>DashboardList_Manage_AE</t>
  </si>
  <si>
    <t>Manage Dashboard List</t>
  </si>
  <si>
    <t>Analytics</t>
  </si>
  <si>
    <t>Dashboard List</t>
  </si>
  <si>
    <t>DashboardPage_Configuration_WE</t>
  </si>
  <si>
    <t>Configure Asset Dashboard Page</t>
  </si>
  <si>
    <t>Dashboard Page</t>
  </si>
  <si>
    <t>View Asset Dashboard Page</t>
  </si>
  <si>
    <t>DataBreakList_View_R</t>
  </si>
  <si>
    <t>View DataBreak List</t>
  </si>
  <si>
    <t>Data Break</t>
  </si>
  <si>
    <t>Data Break List</t>
  </si>
  <si>
    <t>owner ruling 2026-07-22: data breaks view deleted</t>
  </si>
  <si>
    <t>Data Manipulation</t>
  </si>
  <si>
    <t>Data correction</t>
  </si>
  <si>
    <t>RE-HOMED 2026-07-22: net-new approve-set line (L3+ · Technical Admin+) — supersedes the retired back-date flag and canonical §6 L1+-with-co-sign</t>
  </si>
  <si>
    <t>DataInputBackdate_Usage_AE</t>
  </si>
  <si>
    <t>Data Input Backdate</t>
  </si>
  <si>
    <t>Plant Input</t>
  </si>
  <si>
    <t>Data Input</t>
  </si>
  <si>
    <t>MERGED 2026-07-22: standalone back-date grant folds into normal data entry with an L3 co-sign — no flag</t>
  </si>
  <si>
    <t>DataInputDetails_View_R</t>
  </si>
  <si>
    <t>View Data Input Manual Entry Details</t>
  </si>
  <si>
    <t>Data Input Manual Entry</t>
  </si>
  <si>
    <t>DataInputTemplate_Manage_A</t>
  </si>
  <si>
    <t>Add Data Input Templates</t>
  </si>
  <si>
    <t>Data Input Templates</t>
  </si>
  <si>
    <t>DataInputTemplate_Manage_D</t>
  </si>
  <si>
    <t>Delete Data Input Templates</t>
  </si>
  <si>
    <t>DataInputTemplate_View_R</t>
  </si>
  <si>
    <t>View Data Input Templates</t>
  </si>
  <si>
    <t>DataInputUse_Manage_A</t>
  </si>
  <si>
    <t>Add Data Input Manual Entry</t>
  </si>
  <si>
    <t>DataInputUse_View_R</t>
  </si>
  <si>
    <t>View Data Input Manual Entry List</t>
  </si>
  <si>
    <t>DataLogger_Configuration</t>
  </si>
  <si>
    <t>Data Logger Configuration</t>
  </si>
  <si>
    <t>Iot Hardware</t>
  </si>
  <si>
    <t>DeleteUser_Manage_D</t>
  </si>
  <si>
    <t>Delete User</t>
  </si>
  <si>
    <t>EventTemplate_Manage_A</t>
  </si>
  <si>
    <t>Manage Event Templates</t>
  </si>
  <si>
    <t>Task and Trigger Management</t>
  </si>
  <si>
    <t>Event Templates</t>
  </si>
  <si>
    <t>EventTemplate_View_R</t>
  </si>
  <si>
    <t>View Event Templates</t>
  </si>
  <si>
    <t>Events_View_R</t>
  </si>
  <si>
    <t>View Events List</t>
  </si>
  <si>
    <t>Events</t>
  </si>
  <si>
    <t>GAP-FIXED: events list view was missing</t>
  </si>
  <si>
    <t>FixedTask_Configuration_WE</t>
  </si>
  <si>
    <t>Configure Fixed Task</t>
  </si>
  <si>
    <t>Fixed Task</t>
  </si>
  <si>
    <t>FixedTask_Templating_WE</t>
  </si>
  <si>
    <t>Create Fixed Task Templates</t>
  </si>
  <si>
    <t>ForgetPassword_Usage_WE</t>
  </si>
  <si>
    <t>Forget Password</t>
  </si>
  <si>
    <t>BASELINE</t>
  </si>
  <si>
    <t>Platform baseline for all users — no permission needed</t>
  </si>
  <si>
    <t>auth self-service for all users</t>
  </si>
  <si>
    <t>Formula Configuration</t>
  </si>
  <si>
    <t>Analytical Engine</t>
  </si>
  <si>
    <t>GroupRole_Manage_WE</t>
  </si>
  <si>
    <t>Manage Group Role</t>
  </si>
  <si>
    <t>Role Management</t>
  </si>
  <si>
    <t>Group Role</t>
  </si>
  <si>
    <t>RETIRED</t>
  </si>
  <si>
    <t>Retired / superseded — no v2 permission</t>
  </si>
  <si>
    <t>free-form role creation replaced by fixed roles + per-user overrides</t>
  </si>
  <si>
    <t>Group_Configuration_WE</t>
  </si>
  <si>
    <t>Configuration User Group</t>
  </si>
  <si>
    <t>Group Management</t>
  </si>
  <si>
    <t>Group</t>
  </si>
  <si>
    <t>Group_Manage_A</t>
  </si>
  <si>
    <t>Add User Group</t>
  </si>
  <si>
    <t>Group_Manage_D</t>
  </si>
  <si>
    <t>Delete User Group</t>
  </si>
  <si>
    <t>Group_View_R</t>
  </si>
  <si>
    <t>View Group</t>
  </si>
  <si>
    <t>GAP-FIXED: user groups &amp; workspaces were missing</t>
  </si>
  <si>
    <t>HMI_Manage_A</t>
  </si>
  <si>
    <t>Add / Edit HMI</t>
  </si>
  <si>
    <t>Plants Management</t>
  </si>
  <si>
    <t>HMI</t>
  </si>
  <si>
    <t>owner ruling 2026-07-22: HMI deleted (PLC stays)</t>
  </si>
  <si>
    <t>HMI_Manage_D</t>
  </si>
  <si>
    <t>Delete HMI</t>
  </si>
  <si>
    <t>owner ruling 2026-07-22: HMI deleted</t>
  </si>
  <si>
    <t>HMI_Manage_R</t>
  </si>
  <si>
    <t>Read HMI</t>
  </si>
  <si>
    <t>InsightTemplate_Manage_A</t>
  </si>
  <si>
    <t>Add Insight Templates</t>
  </si>
  <si>
    <t>Insight Templates</t>
  </si>
  <si>
    <t>InsightTemplate_Manage_D</t>
  </si>
  <si>
    <t>Delete Insight Templates</t>
  </si>
  <si>
    <t>InsightTemplate_View_R</t>
  </si>
  <si>
    <t>View Insight Templates</t>
  </si>
  <si>
    <t>Insights_Manage_A</t>
  </si>
  <si>
    <t>Add Insights</t>
  </si>
  <si>
    <t>Insights</t>
  </si>
  <si>
    <t>GAP-FIXED: raising manual insights</t>
  </si>
  <si>
    <t>Insights_View_R</t>
  </si>
  <si>
    <t>View Insight Lists</t>
  </si>
  <si>
    <t>GAP-FIXED: insights list view was missing</t>
  </si>
  <si>
    <t>LogbookConfiguration_Manage_A</t>
  </si>
  <si>
    <t>Add Logbook Configuration</t>
  </si>
  <si>
    <t>Logbook Management</t>
  </si>
  <si>
    <t>Logbook Configuration</t>
  </si>
  <si>
    <t>LogbookConfiguration_Manage_D</t>
  </si>
  <si>
    <t>Delete Logbook Configuration</t>
  </si>
  <si>
    <t>LogbookConfiguration_View_R</t>
  </si>
  <si>
    <t>View Logbook Configuration</t>
  </si>
  <si>
    <t>LogbookDataInput_Usage_WE</t>
  </si>
  <si>
    <t>Logbook Data Input</t>
  </si>
  <si>
    <t>LogbookTemplate_Manage_A</t>
  </si>
  <si>
    <t>Add Logbook Templates</t>
  </si>
  <si>
    <t>Logbook Template</t>
  </si>
  <si>
    <t>LogbookTemplate_Manage_D</t>
  </si>
  <si>
    <t>Delete Logbook Templates</t>
  </si>
  <si>
    <t>LogbookTemplate_View_R</t>
  </si>
  <si>
    <t>View Logbook Templates</t>
  </si>
  <si>
    <t>ManualTickets_Configuration_WE</t>
  </si>
  <si>
    <t>Create Manual Tickets</t>
  </si>
  <si>
    <t>Manual Tickets</t>
  </si>
  <si>
    <t>ManualTickets_Usage_WE</t>
  </si>
  <si>
    <t>Use Manual Tickets</t>
  </si>
  <si>
    <t>OldVisualisation_View_R</t>
  </si>
  <si>
    <t>Old View Visualisation</t>
  </si>
  <si>
    <t>Visualisation Workspace</t>
  </si>
  <si>
    <t>Visualization</t>
  </si>
  <si>
    <t>legacy</t>
  </si>
  <si>
    <t>OneTimeTask_Configuration_W</t>
  </si>
  <si>
    <t>Configure One Time Task</t>
  </si>
  <si>
    <t>One Time Task</t>
  </si>
  <si>
    <t>PLC_Manage_AE</t>
  </si>
  <si>
    <t>Add / Edit PLC</t>
  </si>
  <si>
    <t>PLC</t>
  </si>
  <si>
    <t>GAP-FIXED: PLC/HMI/data logger config was missing</t>
  </si>
  <si>
    <t>PLC_Manage_D</t>
  </si>
  <si>
    <t>Delete PLC</t>
  </si>
  <si>
    <t>PLC_Manage_R</t>
  </si>
  <si>
    <t>Read PLC</t>
  </si>
  <si>
    <t>PermissionsList_View_R</t>
  </si>
  <si>
    <t>View Permissions List</t>
  </si>
  <si>
    <t>Permissions List</t>
  </si>
  <si>
    <t>PlantDetails_Configuration_WE</t>
  </si>
  <si>
    <t>Configure Plant Details</t>
  </si>
  <si>
    <t>Plant Details</t>
  </si>
  <si>
    <t>GAP-FIXED: plant details/lab/WQ/escalation setup was missing</t>
  </si>
  <si>
    <t>PlantEscalation_Configuration_WE</t>
  </si>
  <si>
    <t>Configure Plant Escalation</t>
  </si>
  <si>
    <t>Plant Escalation</t>
  </si>
  <si>
    <t>PlantLabTestResults_Configuration_WE</t>
  </si>
  <si>
    <t>Configuration Plant Lab Test Results</t>
  </si>
  <si>
    <t>Plant Lab Test Results</t>
  </si>
  <si>
    <t>PlantLabTestResults_Usage_W</t>
  </si>
  <si>
    <t>Set Plant Lab Test Results</t>
  </si>
  <si>
    <t>PlantLayout_Configuration_WE</t>
  </si>
  <si>
    <t>Configure Plant Layout</t>
  </si>
  <si>
    <t>Plant Layout</t>
  </si>
  <si>
    <t>PlantLayout_View_R</t>
  </si>
  <si>
    <t>View Plant Layout</t>
  </si>
  <si>
    <t>GAP-FIXED: plant layout / digital twin view was missing</t>
  </si>
  <si>
    <t>PlantMaintaince_Configuration_WE</t>
  </si>
  <si>
    <t>Configuration Plant Maintaince</t>
  </si>
  <si>
    <t>Plant Maintenance</t>
  </si>
  <si>
    <t>owner ruling 2026-07-22: plant maintenance feature deleted completely</t>
  </si>
  <si>
    <t>PlantMaintaince_Monitor_R</t>
  </si>
  <si>
    <t>Monitor Plant Maintaince</t>
  </si>
  <si>
    <t>owner ruling 2026-07-22: deleted — equipment history narrows to task/data history</t>
  </si>
  <si>
    <t>PlantMaintaince_Usage_W</t>
  </si>
  <si>
    <t>Set Plant Maintaince</t>
  </si>
  <si>
    <t>owner ruling 2026-07-22: deleted — readplant.maintenance removed from the baseline kitty</t>
  </si>
  <si>
    <t>PlantsList_Manage_A</t>
  </si>
  <si>
    <t>Add Plants</t>
  </si>
  <si>
    <t>Plants List</t>
  </si>
  <si>
    <t>PlantsList_Manage_D</t>
  </si>
  <si>
    <t>Delete Plants</t>
  </si>
  <si>
    <t>PlantsList_Manage_E</t>
  </si>
  <si>
    <t>Edit Plants</t>
  </si>
  <si>
    <t>PlantsList_View_R</t>
  </si>
  <si>
    <t>Virw Plants List</t>
  </si>
  <si>
    <t>covered (plant list view)</t>
  </si>
  <si>
    <t>Remote Control Usage</t>
  </si>
  <si>
    <t>Remote Control</t>
  </si>
  <si>
    <t>covered — the ONLY actuation grant (sensitive set; ruling 2026-07-15)</t>
  </si>
  <si>
    <t>RoleList_View_R</t>
  </si>
  <si>
    <t>View Role List</t>
  </si>
  <si>
    <t>Role List</t>
  </si>
  <si>
    <t>RosterManagement_Manage_A</t>
  </si>
  <si>
    <t>Add Rosters</t>
  </si>
  <si>
    <t>Roster</t>
  </si>
  <si>
    <t>RosterManagement_Manage_D</t>
  </si>
  <si>
    <t>Delete Rosters</t>
  </si>
  <si>
    <t>RosterManagement_View_R</t>
  </si>
  <si>
    <t>View Rosters List</t>
  </si>
  <si>
    <t>SPLIT 2026-07-22: admin roster list = people.rosters; own shifts live in readplant.myshift (baseline)</t>
  </si>
  <si>
    <t>SensorDetails_Configuration_WE</t>
  </si>
  <si>
    <t>Configure Sensor Details</t>
  </si>
  <si>
    <t>Sensor Details</t>
  </si>
  <si>
    <t>Sensor Health Dashboard</t>
  </si>
  <si>
    <t>RE-HOMED 2026-07-22: per-person exception flag (view-as pattern) — never a role default; removed from readplant.dash</t>
  </si>
  <si>
    <t>Sensor_Configuration_WE</t>
  </si>
  <si>
    <t>Sensor Configuration</t>
  </si>
  <si>
    <t>Sensor List Configuration</t>
  </si>
  <si>
    <t>Sensor List</t>
  </si>
  <si>
    <t>SkillManagement_Manage_A</t>
  </si>
  <si>
    <t>Add Skills</t>
  </si>
  <si>
    <t>Skill Management</t>
  </si>
  <si>
    <t>GAP-FIXED: skill management was missing</t>
  </si>
  <si>
    <t>SkillManagement_Manage_D</t>
  </si>
  <si>
    <t>Delete Skills</t>
  </si>
  <si>
    <t>SkillManagement_View_R</t>
  </si>
  <si>
    <t>View Skills</t>
  </si>
  <si>
    <t>Configure Store</t>
  </si>
  <si>
    <t>Stores</t>
  </si>
  <si>
    <t>Store Configuration</t>
  </si>
  <si>
    <t>shipped 2026-07 as the inv module; net-new tech line tagged mod:inv so the inventory ceiling caps it (ruling 2026-07-22)</t>
  </si>
  <si>
    <t>StoreManagement_Manage</t>
  </si>
  <si>
    <t>Store Management</t>
  </si>
  <si>
    <t>shipped 2026-07 as the inv module (movement log — supervisor)</t>
  </si>
  <si>
    <t>StoreManagement_Usage</t>
  </si>
  <si>
    <t>shipped 2026-07 as the inv module (usage/expiry/purchase — operator)</t>
  </si>
  <si>
    <t>SystemRole_Manage_WE</t>
  </si>
  <si>
    <t>Manage System Role</t>
  </si>
  <si>
    <t>System Role</t>
  </si>
  <si>
    <t>covered (role governance goes global)</t>
  </si>
  <si>
    <t>TaskPage_Usage_W</t>
  </si>
  <si>
    <t>Set Task Page</t>
  </si>
  <si>
    <t>Task</t>
  </si>
  <si>
    <t>Task Page</t>
  </si>
  <si>
    <t>TaskTemplateSystem_Manage_A</t>
  </si>
  <si>
    <t>Add System Task Templates</t>
  </si>
  <si>
    <t>Task Templates</t>
  </si>
  <si>
    <t>TaskTemplateSystem_Manage_D</t>
  </si>
  <si>
    <t>Delete System Task Templates</t>
  </si>
  <si>
    <t>TaskTemplate_Manage_A</t>
  </si>
  <si>
    <t>Add Task Templates</t>
  </si>
  <si>
    <t>GAP-FIXED: site-level templates were missing</t>
  </si>
  <si>
    <t>TaskTemplate_Manage_D</t>
  </si>
  <si>
    <t>Delete Task Templates</t>
  </si>
  <si>
    <t>TaskTemplate_View_R</t>
  </si>
  <si>
    <t>View Task Templates</t>
  </si>
  <si>
    <t>Tasks_Manage_A</t>
  </si>
  <si>
    <t>Add Tasks</t>
  </si>
  <si>
    <t>Task List</t>
  </si>
  <si>
    <t>GAP-FIXED: creating/assigning one-off tasks was missing</t>
  </si>
  <si>
    <t>Tasks_Manage_D</t>
  </si>
  <si>
    <t>Delete Tasks</t>
  </si>
  <si>
    <t>Tasks_View_R</t>
  </si>
  <si>
    <t>View Task Lists</t>
  </si>
  <si>
    <t>TriggerSystem_Manage_A</t>
  </si>
  <si>
    <t>Add System Triggers</t>
  </si>
  <si>
    <t>Triggers</t>
  </si>
  <si>
    <t>TriggerSystem_Manage_D</t>
  </si>
  <si>
    <t>Delete System Triggers</t>
  </si>
  <si>
    <t>Trigger_Manage_A</t>
  </si>
  <si>
    <t>Add Triggers</t>
  </si>
  <si>
    <t>Trigger_Manage_D</t>
  </si>
  <si>
    <t>Delete Triggers</t>
  </si>
  <si>
    <t>Trigger_View_R</t>
  </si>
  <si>
    <t>View Triggers Lists</t>
  </si>
  <si>
    <t>UnifiedDashboardAutoEmail_Manage_WE</t>
  </si>
  <si>
    <t>Unified Dashboard Auto Email Permission</t>
  </si>
  <si>
    <t>Email Management</t>
  </si>
  <si>
    <t>Unified Dashboard Auto Email</t>
  </si>
  <si>
    <t>UnifiedDashboardList_Manage_AE</t>
  </si>
  <si>
    <t>Add / Edit UnifiedDashboardList</t>
  </si>
  <si>
    <t>Unified Dashboard</t>
  </si>
  <si>
    <t>Unified Dashboard List</t>
  </si>
  <si>
    <t>UnifiedDashboardPageBatch_Usage_R</t>
  </si>
  <si>
    <t>Use Batches</t>
  </si>
  <si>
    <t>Unified Dashboard Controls</t>
  </si>
  <si>
    <t>Dashboard Batches</t>
  </si>
  <si>
    <t>GAP-FIXED: dashboard batches folded into reports</t>
  </si>
  <si>
    <t>UnifiedDashboardPageEvents_Usage_R</t>
  </si>
  <si>
    <t>Use Events</t>
  </si>
  <si>
    <t>Dashboard Events</t>
  </si>
  <si>
    <t>GAP-FIXED: dashboard events folded into insights</t>
  </si>
  <si>
    <t>UnifiedDashboardPage_Configuration_WE</t>
  </si>
  <si>
    <t>Configuration Unified DashboardPage</t>
  </si>
  <si>
    <t>Unified Dashboard Page</t>
  </si>
  <si>
    <t>UnifiedDashboardPage_View_R</t>
  </si>
  <si>
    <t>View Unified DashboardPage</t>
  </si>
  <si>
    <t>UnifiedDashboardReport_Usage_R</t>
  </si>
  <si>
    <t>Download Report</t>
  </si>
  <si>
    <t>View User List</t>
  </si>
  <si>
    <t>User List</t>
  </si>
  <si>
    <t>VideoTutorials_View_R</t>
  </si>
  <si>
    <t>Video Tutorials</t>
  </si>
  <si>
    <t>Tutorials</t>
  </si>
  <si>
    <t>owner ruling 2026-07-22: video tutorials feature deleted</t>
  </si>
  <si>
    <t>View As User</t>
  </si>
  <si>
    <t>Visualisation_Configuration_WE</t>
  </si>
  <si>
    <t>Configure Visualisation</t>
  </si>
  <si>
    <t>Visualisation_View_R</t>
  </si>
  <si>
    <t>View Visualisation</t>
  </si>
  <si>
    <t>legacy visualisation workspace superseded by plant dashboard</t>
  </si>
  <si>
    <t>WaterQualityTestResults_Configuration_WE</t>
  </si>
  <si>
    <t>Configure Water Quality Test Results</t>
  </si>
  <si>
    <t>Water Quality Test Results</t>
  </si>
  <si>
    <t>WaterQualityTestResults_Usage_W</t>
  </si>
  <si>
    <t>Set Water Quality Test Results</t>
  </si>
  <si>
    <t>WorkflowSystem_Manage_A</t>
  </si>
  <si>
    <t>Add System Workflows</t>
  </si>
  <si>
    <t>Workflow</t>
  </si>
  <si>
    <t>WorkflowSystem_Manage_D</t>
  </si>
  <si>
    <t>Delete System Workflows</t>
  </si>
  <si>
    <t>Workflow_Manage_A</t>
  </si>
  <si>
    <t>Add Workflows</t>
  </si>
  <si>
    <t>GAP-FIXED: diagnostic flows/workflows were missing</t>
  </si>
  <si>
    <t>Workflow_Manage_D</t>
  </si>
  <si>
    <t>Delete Workflows</t>
  </si>
  <si>
    <t>Workflow_View_R</t>
  </si>
  <si>
    <t>View Workflows</t>
  </si>
  <si>
    <t>Workspace_Configuration_WE</t>
  </si>
  <si>
    <t>Write / Edit Workspace</t>
  </si>
  <si>
    <t>Workspace Management</t>
  </si>
  <si>
    <t>Workspace</t>
  </si>
  <si>
    <t>Workspace_Manage_A</t>
  </si>
  <si>
    <t>Add Workspace</t>
  </si>
  <si>
    <t>Workspace_View_R</t>
  </si>
  <si>
    <t>View Workspace</t>
  </si>
  <si>
    <t>Legacy DB tags audited (formula)</t>
  </si>
  <si>
    <t>Carried into a v2 permission (formula)</t>
  </si>
  <si>
    <t>⚠ LEFT OUT of v2 — flagged amber above (formula)</t>
  </si>
  <si>
    <t>Cross-check at generation: DB tags missing from coverage-map.csv = 0; coverage-map rows not in the DB = 0 (both must be 0). Left-out tags stay visible in old data until their L-* deprecation flag is flipped (see role-permission-migration-map.xlsx); they never become v2 permissions.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</si>
</sst>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4"/>
      <color rgb="FF002454"/>
      <name val="Arial"/>
    </font>
    <font>
      <sz val="9"/>
      <color rgb="FF8A95A3"/>
      <name val="Arial"/>
    </font>
    <font>
      <sz val="10"/>
      <name val="Arial"/>
    </font>
    <font>
      <b/>
      <sz val="10"/>
      <name val="Arial"/>
    </font>
    <font>
      <b/>
      <sz val="10"/>
      <color rgb="FF002454"/>
      <name val="Arial"/>
    </font>
    <font>
      <b/>
      <sz val="10"/>
      <color rgb="FFFFFFFF"/>
      <name val="Arial"/>
    </font>
    <font>
      <sz val="9"/>
      <name val="Courier New"/>
    </font>
    <font>
      <i/>
      <sz val="10"/>
      <color rgb="FF8A95A3"/>
      <name val="Arial"/>
    </font>
    <font>
      <sz val="10"/>
      <color rgb="FFC7CFD8"/>
      <name val="Arial"/>
    </font>
    <font>
      <b/>
      <sz val="10"/>
      <color rgb="FFB45309"/>
      <name val="Arial"/>
    </font>
    <font>
      <sz val="10"/>
      <color rgb="FFB45309"/>
      <name val="Arial"/>
    </font>
  </fonts>
  <fills count="5">
    <fill>
      <patternFill patternType="none"/>
    </fill>
    <fill>
      <patternFill patternType="gray125"/>
    </fill>
    <fill>
      <patternFill patternType="solid">
        <fgColor rgb="FF002454"/>
      </patternFill>
    </fill>
    <fill>
      <patternFill patternType="solid">
        <fgColor rgb="FFE8F5F6"/>
      </patternFill>
    </fill>
    <fill>
      <patternFill patternType="solid">
        <fgColor rgb="FFFFF8E1"/>
      </patternFill>
    </fill>
  </fills>
  <borders count="2">
    <border>
      <left/>
      <right/>
      <top/>
      <bottom/>
      <diagonal/>
    </border>
    <border>
      <left style="thin">
        <color rgb="FFD5DBE2"/>
      </left>
      <right style="thin">
        <color rgb="FFD5DBE2"/>
      </right>
      <top style="thin">
        <color rgb="FFD5DBE2"/>
      </top>
      <bottom style="thin">
        <color rgb="FFD5DBE2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2" borderId="0" xfId="0" applyFont="1" applyFill="1" applyAlignment="1">
      <alignment vertical="center" wrapText="1"/>
    </xf>
    <xf numFmtId="0" fontId="5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7" fillId="4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4" fillId="0" borderId="0" xfId="0" applyFont="1"/>
    <xf numFmtId="0" fontId="3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vertical="top" wrapText="1"/>
    </xf>
    <xf numFmtId="0" fontId="11" fillId="4" borderId="1" xfId="0" applyFont="1" applyFill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4"/>
  <sheetViews>
    <sheetView tabSelected="1" workbookViewId="0"/>
  </sheetViews>
  <sheetFormatPr defaultRowHeight="14.4" x14ac:dyDescent="0.3"/>
  <cols>
    <col min="1" max="1" width="118" customWidth="1"/>
  </cols>
  <sheetData>
    <row r="1" spans="1:1" ht="34.799999999999997" x14ac:dyDescent="0.3">
      <c r="A1" s="1" t="s">
        <v>0</v>
      </c>
    </row>
    <row r="2" spans="1:1" ht="22.8" x14ac:dyDescent="0.3">
      <c r="A2" s="2" t="s">
        <v>1</v>
      </c>
    </row>
    <row r="3" spans="1:1" x14ac:dyDescent="0.3">
      <c r="A3" s="3"/>
    </row>
    <row r="4" spans="1:1" ht="26.4" x14ac:dyDescent="0.3">
      <c r="A4" s="4" t="s">
        <v>2</v>
      </c>
    </row>
    <row r="5" spans="1:1" x14ac:dyDescent="0.3">
      <c r="A5" s="3"/>
    </row>
    <row r="6" spans="1:1" x14ac:dyDescent="0.3">
      <c r="A6" s="5" t="s">
        <v>3</v>
      </c>
    </row>
    <row r="7" spans="1:1" x14ac:dyDescent="0.3">
      <c r="A7" s="3" t="s">
        <v>4</v>
      </c>
    </row>
    <row r="8" spans="1:1" ht="26.4" x14ac:dyDescent="0.3">
      <c r="A8" s="3" t="s">
        <v>5</v>
      </c>
    </row>
    <row r="9" spans="1:1" x14ac:dyDescent="0.3">
      <c r="A9" s="3" t="s">
        <v>6</v>
      </c>
    </row>
    <row r="10" spans="1:1" x14ac:dyDescent="0.3">
      <c r="A10" s="3"/>
    </row>
    <row r="11" spans="1:1" x14ac:dyDescent="0.3">
      <c r="A11" s="5" t="s">
        <v>7</v>
      </c>
    </row>
    <row r="12" spans="1:1" ht="26.4" x14ac:dyDescent="0.3">
      <c r="A12" s="3" t="s">
        <v>8</v>
      </c>
    </row>
    <row r="13" spans="1:1" x14ac:dyDescent="0.3">
      <c r="A13" s="3" t="s">
        <v>9</v>
      </c>
    </row>
    <row r="14" spans="1:1" ht="26.4" x14ac:dyDescent="0.3">
      <c r="A14" s="3" t="s">
        <v>10</v>
      </c>
    </row>
    <row r="15" spans="1:1" ht="26.4" x14ac:dyDescent="0.3">
      <c r="A15" s="3" t="s">
        <v>11</v>
      </c>
    </row>
    <row r="16" spans="1:1" x14ac:dyDescent="0.3">
      <c r="A16" s="3"/>
    </row>
    <row r="17" spans="1:1" x14ac:dyDescent="0.3">
      <c r="A17" s="5" t="s">
        <v>12</v>
      </c>
    </row>
    <row r="18" spans="1:1" ht="26.4" x14ac:dyDescent="0.3">
      <c r="A18" s="3" t="s">
        <v>13</v>
      </c>
    </row>
    <row r="19" spans="1:1" ht="26.4" x14ac:dyDescent="0.3">
      <c r="A19" s="3" t="s">
        <v>14</v>
      </c>
    </row>
    <row r="20" spans="1:1" x14ac:dyDescent="0.3">
      <c r="A20" s="3" t="s">
        <v>15</v>
      </c>
    </row>
    <row r="21" spans="1:1" x14ac:dyDescent="0.3">
      <c r="A21" s="3" t="s">
        <v>16</v>
      </c>
    </row>
    <row r="22" spans="1:1" x14ac:dyDescent="0.3">
      <c r="A22" s="3"/>
    </row>
    <row r="23" spans="1:1" ht="22.8" x14ac:dyDescent="0.3">
      <c r="A23" s="2" t="s">
        <v>17</v>
      </c>
    </row>
    <row r="24" spans="1:1" x14ac:dyDescent="0.3">
      <c r="A24" s="2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4" customWidth="1"/>
    <col min="2" max="2" width="38" customWidth="1"/>
    <col min="3" max="3" width="24" customWidth="1"/>
    <col min="4" max="4" width="52" customWidth="1"/>
    <col min="5" max="5" width="20" customWidth="1"/>
    <col min="6" max="6" width="26" customWidth="1"/>
    <col min="7" max="7" width="30" customWidth="1"/>
    <col min="8" max="8" width="46" customWidth="1"/>
  </cols>
  <sheetData>
    <row r="1" spans="1:8" x14ac:dyDescent="0.3">
      <c r="A1" s="6" t="s">
        <v>19</v>
      </c>
      <c r="B1" s="6" t="s">
        <v>20</v>
      </c>
      <c r="C1" s="6" t="s">
        <v>21</v>
      </c>
      <c r="D1" s="6" t="s">
        <v>22</v>
      </c>
      <c r="E1" s="6" t="s">
        <v>23</v>
      </c>
      <c r="F1" s="6" t="s">
        <v>24</v>
      </c>
      <c r="G1" s="6" t="s">
        <v>25</v>
      </c>
      <c r="H1" s="6" t="s">
        <v>26</v>
      </c>
    </row>
    <row r="2" spans="1:8" ht="39.6" x14ac:dyDescent="0.3">
      <c r="A2" s="7" t="s">
        <v>27</v>
      </c>
      <c r="B2" s="8" t="s">
        <v>28</v>
      </c>
      <c r="C2" s="9" t="s">
        <v>29</v>
      </c>
      <c r="D2" s="10" t="s">
        <v>28</v>
      </c>
      <c r="E2" s="10" t="s">
        <v>30</v>
      </c>
      <c r="F2" s="10" t="s">
        <v>31</v>
      </c>
      <c r="G2" s="10" t="s">
        <v>32</v>
      </c>
      <c r="H2" s="10" t="s">
        <v>33</v>
      </c>
    </row>
    <row r="3" spans="1:8" ht="39.6" x14ac:dyDescent="0.3">
      <c r="A3" s="7"/>
      <c r="B3" s="8" t="s">
        <v>34</v>
      </c>
      <c r="C3" s="9" t="s">
        <v>35</v>
      </c>
      <c r="D3" s="10" t="s">
        <v>36</v>
      </c>
      <c r="E3" s="10" t="s">
        <v>37</v>
      </c>
      <c r="F3" s="10" t="s">
        <v>38</v>
      </c>
      <c r="G3" s="10" t="s">
        <v>39</v>
      </c>
      <c r="H3" s="10" t="s">
        <v>40</v>
      </c>
    </row>
    <row r="4" spans="1:8" ht="39.6" x14ac:dyDescent="0.3">
      <c r="A4" s="7"/>
      <c r="B4" s="10"/>
      <c r="C4" s="9" t="s">
        <v>41</v>
      </c>
      <c r="D4" s="10" t="s">
        <v>42</v>
      </c>
      <c r="E4" s="10" t="s">
        <v>37</v>
      </c>
      <c r="F4" s="10" t="s">
        <v>38</v>
      </c>
      <c r="G4" s="10" t="s">
        <v>39</v>
      </c>
      <c r="H4" s="10" t="s">
        <v>43</v>
      </c>
    </row>
    <row r="5" spans="1:8" ht="52.8" x14ac:dyDescent="0.3">
      <c r="A5" s="7"/>
      <c r="B5" s="10"/>
      <c r="C5" s="9" t="s">
        <v>44</v>
      </c>
      <c r="D5" s="10" t="s">
        <v>45</v>
      </c>
      <c r="E5" s="10" t="s">
        <v>37</v>
      </c>
      <c r="F5" s="10" t="s">
        <v>38</v>
      </c>
      <c r="G5" s="10" t="s">
        <v>39</v>
      </c>
      <c r="H5" s="10" t="s">
        <v>46</v>
      </c>
    </row>
    <row r="6" spans="1:8" ht="39.6" x14ac:dyDescent="0.3">
      <c r="A6" s="7"/>
      <c r="B6" s="10"/>
      <c r="C6" s="9" t="s">
        <v>47</v>
      </c>
      <c r="D6" s="10" t="s">
        <v>48</v>
      </c>
      <c r="E6" s="10" t="s">
        <v>37</v>
      </c>
      <c r="F6" s="10" t="s">
        <v>38</v>
      </c>
      <c r="G6" s="10" t="s">
        <v>39</v>
      </c>
      <c r="H6" s="10" t="s">
        <v>49</v>
      </c>
    </row>
    <row r="7" spans="1:8" ht="39.6" x14ac:dyDescent="0.3">
      <c r="A7" s="7"/>
      <c r="B7" s="10"/>
      <c r="C7" s="9" t="s">
        <v>50</v>
      </c>
      <c r="D7" s="10" t="s">
        <v>51</v>
      </c>
      <c r="E7" s="10" t="s">
        <v>37</v>
      </c>
      <c r="F7" s="10" t="s">
        <v>38</v>
      </c>
      <c r="G7" s="10" t="s">
        <v>39</v>
      </c>
      <c r="H7" s="10" t="s">
        <v>52</v>
      </c>
    </row>
    <row r="8" spans="1:8" ht="39.6" x14ac:dyDescent="0.3">
      <c r="A8" s="7"/>
      <c r="B8" s="10"/>
      <c r="C8" s="9" t="s">
        <v>53</v>
      </c>
      <c r="D8" s="10" t="s">
        <v>54</v>
      </c>
      <c r="E8" s="10" t="s">
        <v>37</v>
      </c>
      <c r="F8" s="10" t="s">
        <v>38</v>
      </c>
      <c r="G8" s="10" t="s">
        <v>39</v>
      </c>
      <c r="H8" s="10" t="s">
        <v>55</v>
      </c>
    </row>
    <row r="9" spans="1:8" ht="52.8" x14ac:dyDescent="0.3">
      <c r="A9" s="7"/>
      <c r="B9" s="8" t="s">
        <v>56</v>
      </c>
      <c r="C9" s="9" t="s">
        <v>57</v>
      </c>
      <c r="D9" s="10" t="s">
        <v>58</v>
      </c>
      <c r="E9" s="10" t="s">
        <v>59</v>
      </c>
      <c r="F9" s="10" t="s">
        <v>38</v>
      </c>
      <c r="G9" s="10" t="s">
        <v>60</v>
      </c>
      <c r="H9" s="10" t="s">
        <v>61</v>
      </c>
    </row>
    <row r="10" spans="1:8" ht="224.4" x14ac:dyDescent="0.3">
      <c r="A10" s="7"/>
      <c r="B10" s="10"/>
      <c r="C10" s="9" t="s">
        <v>62</v>
      </c>
      <c r="D10" s="10" t="s">
        <v>63</v>
      </c>
      <c r="E10" s="10" t="s">
        <v>59</v>
      </c>
      <c r="F10" s="10" t="s">
        <v>38</v>
      </c>
      <c r="G10" s="10" t="s">
        <v>60</v>
      </c>
      <c r="H10" s="10" t="s">
        <v>64</v>
      </c>
    </row>
    <row r="11" spans="1:8" ht="92.4" x14ac:dyDescent="0.3">
      <c r="A11" s="7"/>
      <c r="B11" s="8" t="s">
        <v>65</v>
      </c>
      <c r="C11" s="9" t="s">
        <v>66</v>
      </c>
      <c r="D11" s="10" t="s">
        <v>67</v>
      </c>
      <c r="E11" s="10" t="s">
        <v>68</v>
      </c>
      <c r="F11" s="10" t="s">
        <v>38</v>
      </c>
      <c r="G11" s="10" t="s">
        <v>32</v>
      </c>
      <c r="H11" s="10" t="s">
        <v>69</v>
      </c>
    </row>
    <row r="12" spans="1:8" ht="39.6" x14ac:dyDescent="0.3">
      <c r="A12" s="7"/>
      <c r="B12" s="10"/>
      <c r="C12" s="9" t="s">
        <v>70</v>
      </c>
      <c r="D12" s="10" t="s">
        <v>71</v>
      </c>
      <c r="E12" s="10" t="s">
        <v>68</v>
      </c>
      <c r="F12" s="10" t="s">
        <v>38</v>
      </c>
      <c r="G12" s="10" t="s">
        <v>32</v>
      </c>
      <c r="H12" s="10" t="s">
        <v>52</v>
      </c>
    </row>
    <row r="13" spans="1:8" ht="39.6" x14ac:dyDescent="0.3">
      <c r="A13" s="7"/>
      <c r="B13" s="10"/>
      <c r="C13" s="9" t="s">
        <v>72</v>
      </c>
      <c r="D13" s="10" t="s">
        <v>73</v>
      </c>
      <c r="E13" s="10" t="s">
        <v>68</v>
      </c>
      <c r="F13" s="10" t="s">
        <v>38</v>
      </c>
      <c r="G13" s="10" t="s">
        <v>32</v>
      </c>
      <c r="H13" s="10" t="s">
        <v>74</v>
      </c>
    </row>
    <row r="14" spans="1:8" ht="39.6" x14ac:dyDescent="0.3">
      <c r="A14" s="7"/>
      <c r="B14" s="11" t="s">
        <v>75</v>
      </c>
      <c r="C14" s="12" t="s">
        <v>76</v>
      </c>
      <c r="D14" s="13" t="s">
        <v>77</v>
      </c>
      <c r="E14" s="13" t="s">
        <v>78</v>
      </c>
      <c r="F14" s="13" t="s">
        <v>38</v>
      </c>
      <c r="G14" s="13" t="s">
        <v>32</v>
      </c>
      <c r="H14" s="13" t="s">
        <v>79</v>
      </c>
    </row>
    <row r="15" spans="1:8" ht="26.4" x14ac:dyDescent="0.3">
      <c r="A15" s="7" t="s">
        <v>80</v>
      </c>
      <c r="B15" s="8" t="s">
        <v>81</v>
      </c>
      <c r="C15" s="9" t="s">
        <v>82</v>
      </c>
      <c r="D15" s="10" t="s">
        <v>83</v>
      </c>
      <c r="E15" s="10" t="s">
        <v>84</v>
      </c>
      <c r="F15" s="10" t="s">
        <v>85</v>
      </c>
      <c r="G15" s="10" t="s">
        <v>32</v>
      </c>
      <c r="H15" s="10" t="s">
        <v>86</v>
      </c>
    </row>
    <row r="16" spans="1:8" ht="26.4" x14ac:dyDescent="0.3">
      <c r="A16" s="7"/>
      <c r="B16" s="10"/>
      <c r="C16" s="9" t="s">
        <v>87</v>
      </c>
      <c r="D16" s="10" t="s">
        <v>88</v>
      </c>
      <c r="E16" s="10" t="s">
        <v>84</v>
      </c>
      <c r="F16" s="10" t="s">
        <v>85</v>
      </c>
      <c r="G16" s="10" t="s">
        <v>32</v>
      </c>
      <c r="H16" s="10" t="s">
        <v>52</v>
      </c>
    </row>
    <row r="17" spans="1:8" ht="26.4" x14ac:dyDescent="0.3">
      <c r="A17" s="7"/>
      <c r="B17" s="10"/>
      <c r="C17" s="9" t="s">
        <v>89</v>
      </c>
      <c r="D17" s="10" t="s">
        <v>90</v>
      </c>
      <c r="E17" s="10" t="s">
        <v>84</v>
      </c>
      <c r="F17" s="10" t="s">
        <v>85</v>
      </c>
      <c r="G17" s="10" t="s">
        <v>32</v>
      </c>
      <c r="H17" s="10" t="s">
        <v>52</v>
      </c>
    </row>
    <row r="18" spans="1:8" ht="26.4" x14ac:dyDescent="0.3">
      <c r="A18" s="7"/>
      <c r="B18" s="10"/>
      <c r="C18" s="9" t="s">
        <v>91</v>
      </c>
      <c r="D18" s="10" t="s">
        <v>92</v>
      </c>
      <c r="E18" s="10" t="s">
        <v>84</v>
      </c>
      <c r="F18" s="10" t="s">
        <v>85</v>
      </c>
      <c r="G18" s="10" t="s">
        <v>32</v>
      </c>
      <c r="H18" s="10" t="s">
        <v>93</v>
      </c>
    </row>
    <row r="19" spans="1:8" ht="26.4" x14ac:dyDescent="0.3">
      <c r="A19" s="7"/>
      <c r="B19" s="10"/>
      <c r="C19" s="9" t="s">
        <v>94</v>
      </c>
      <c r="D19" s="10" t="s">
        <v>95</v>
      </c>
      <c r="E19" s="10" t="s">
        <v>84</v>
      </c>
      <c r="F19" s="10" t="s">
        <v>85</v>
      </c>
      <c r="G19" s="10" t="s">
        <v>32</v>
      </c>
      <c r="H19" s="10" t="s">
        <v>52</v>
      </c>
    </row>
    <row r="20" spans="1:8" x14ac:dyDescent="0.3">
      <c r="A20" s="7"/>
      <c r="B20" s="8" t="s">
        <v>96</v>
      </c>
      <c r="C20" s="9" t="s">
        <v>97</v>
      </c>
      <c r="D20" s="10" t="s">
        <v>98</v>
      </c>
      <c r="E20" s="10" t="s">
        <v>96</v>
      </c>
      <c r="F20" s="10" t="s">
        <v>99</v>
      </c>
      <c r="G20" s="10" t="s">
        <v>32</v>
      </c>
      <c r="H20" s="10" t="s">
        <v>52</v>
      </c>
    </row>
    <row r="21" spans="1:8" x14ac:dyDescent="0.3">
      <c r="A21" s="7"/>
      <c r="B21" s="10"/>
      <c r="C21" s="9" t="s">
        <v>100</v>
      </c>
      <c r="D21" s="10" t="s">
        <v>101</v>
      </c>
      <c r="E21" s="10" t="s">
        <v>96</v>
      </c>
      <c r="F21" s="10" t="s">
        <v>99</v>
      </c>
      <c r="G21" s="10" t="s">
        <v>32</v>
      </c>
      <c r="H21" s="10" t="s">
        <v>52</v>
      </c>
    </row>
    <row r="22" spans="1:8" x14ac:dyDescent="0.3">
      <c r="A22" s="7"/>
      <c r="B22" s="10"/>
      <c r="C22" s="9" t="s">
        <v>102</v>
      </c>
      <c r="D22" s="10" t="s">
        <v>103</v>
      </c>
      <c r="E22" s="10" t="s">
        <v>96</v>
      </c>
      <c r="F22" s="10" t="s">
        <v>99</v>
      </c>
      <c r="G22" s="10" t="s">
        <v>32</v>
      </c>
      <c r="H22" s="10" t="s">
        <v>52</v>
      </c>
    </row>
    <row r="23" spans="1:8" x14ac:dyDescent="0.3">
      <c r="A23" s="7"/>
      <c r="B23" s="10"/>
      <c r="C23" s="9" t="s">
        <v>104</v>
      </c>
      <c r="D23" s="10" t="s">
        <v>105</v>
      </c>
      <c r="E23" s="10" t="s">
        <v>96</v>
      </c>
      <c r="F23" s="10" t="s">
        <v>99</v>
      </c>
      <c r="G23" s="10" t="s">
        <v>32</v>
      </c>
      <c r="H23" s="10" t="s">
        <v>52</v>
      </c>
    </row>
    <row r="24" spans="1:8" x14ac:dyDescent="0.3">
      <c r="A24" s="7"/>
      <c r="B24" s="10"/>
      <c r="C24" s="9" t="s">
        <v>106</v>
      </c>
      <c r="D24" s="10" t="s">
        <v>107</v>
      </c>
      <c r="E24" s="10" t="s">
        <v>96</v>
      </c>
      <c r="F24" s="10" t="s">
        <v>99</v>
      </c>
      <c r="G24" s="10" t="s">
        <v>32</v>
      </c>
      <c r="H24" s="10" t="s">
        <v>52</v>
      </c>
    </row>
    <row r="25" spans="1:8" x14ac:dyDescent="0.3">
      <c r="A25" s="7"/>
      <c r="B25" s="8" t="s">
        <v>108</v>
      </c>
      <c r="C25" s="9" t="s">
        <v>109</v>
      </c>
      <c r="D25" s="10" t="s">
        <v>110</v>
      </c>
      <c r="E25" s="10" t="s">
        <v>111</v>
      </c>
      <c r="F25" s="10" t="s">
        <v>112</v>
      </c>
      <c r="G25" s="10" t="s">
        <v>32</v>
      </c>
      <c r="H25" s="10" t="s">
        <v>52</v>
      </c>
    </row>
    <row r="26" spans="1:8" x14ac:dyDescent="0.3">
      <c r="A26" s="7"/>
      <c r="B26" s="10"/>
      <c r="C26" s="9" t="s">
        <v>113</v>
      </c>
      <c r="D26" s="10" t="s">
        <v>114</v>
      </c>
      <c r="E26" s="10" t="s">
        <v>111</v>
      </c>
      <c r="F26" s="10" t="s">
        <v>112</v>
      </c>
      <c r="G26" s="10" t="s">
        <v>32</v>
      </c>
      <c r="H26" s="10" t="s">
        <v>52</v>
      </c>
    </row>
    <row r="27" spans="1:8" x14ac:dyDescent="0.3">
      <c r="A27" s="7"/>
      <c r="B27" s="10"/>
      <c r="C27" s="9" t="s">
        <v>115</v>
      </c>
      <c r="D27" s="10" t="s">
        <v>116</v>
      </c>
      <c r="E27" s="10" t="s">
        <v>111</v>
      </c>
      <c r="F27" s="10" t="s">
        <v>112</v>
      </c>
      <c r="G27" s="10" t="s">
        <v>32</v>
      </c>
      <c r="H27" s="10" t="s">
        <v>52</v>
      </c>
    </row>
    <row r="28" spans="1:8" ht="39.6" x14ac:dyDescent="0.3">
      <c r="A28" s="7"/>
      <c r="B28" s="8" t="s">
        <v>117</v>
      </c>
      <c r="C28" s="9" t="s">
        <v>118</v>
      </c>
      <c r="D28" s="10" t="s">
        <v>119</v>
      </c>
      <c r="E28" s="10" t="s">
        <v>59</v>
      </c>
      <c r="F28" s="10" t="s">
        <v>38</v>
      </c>
      <c r="G28" s="10" t="s">
        <v>60</v>
      </c>
      <c r="H28" s="10" t="s">
        <v>120</v>
      </c>
    </row>
    <row r="29" spans="1:8" ht="39.6" x14ac:dyDescent="0.3">
      <c r="A29" s="7"/>
      <c r="B29" s="10"/>
      <c r="C29" s="9" t="s">
        <v>121</v>
      </c>
      <c r="D29" s="10" t="s">
        <v>122</v>
      </c>
      <c r="E29" s="10" t="s">
        <v>59</v>
      </c>
      <c r="F29" s="10" t="s">
        <v>38</v>
      </c>
      <c r="G29" s="10" t="s">
        <v>60</v>
      </c>
      <c r="H29" s="10" t="s">
        <v>123</v>
      </c>
    </row>
    <row r="30" spans="1:8" ht="39.6" x14ac:dyDescent="0.3">
      <c r="A30" s="7"/>
      <c r="B30" s="10"/>
      <c r="C30" s="9" t="s">
        <v>124</v>
      </c>
      <c r="D30" s="10" t="s">
        <v>125</v>
      </c>
      <c r="E30" s="10" t="s">
        <v>59</v>
      </c>
      <c r="F30" s="10" t="s">
        <v>38</v>
      </c>
      <c r="G30" s="10" t="s">
        <v>60</v>
      </c>
      <c r="H30" s="10" t="s">
        <v>126</v>
      </c>
    </row>
    <row r="31" spans="1:8" ht="39.6" x14ac:dyDescent="0.3">
      <c r="A31" s="7" t="s">
        <v>127</v>
      </c>
      <c r="B31" s="8" t="s">
        <v>128</v>
      </c>
      <c r="C31" s="9" t="s">
        <v>129</v>
      </c>
      <c r="D31" s="10" t="s">
        <v>130</v>
      </c>
      <c r="E31" s="10" t="s">
        <v>30</v>
      </c>
      <c r="F31" s="10" t="s">
        <v>31</v>
      </c>
      <c r="G31" s="10" t="s">
        <v>32</v>
      </c>
      <c r="H31" s="10" t="s">
        <v>131</v>
      </c>
    </row>
    <row r="32" spans="1:8" ht="39.6" x14ac:dyDescent="0.3">
      <c r="A32" s="7"/>
      <c r="B32" s="10"/>
      <c r="C32" s="9" t="s">
        <v>132</v>
      </c>
      <c r="D32" s="10" t="s">
        <v>133</v>
      </c>
      <c r="E32" s="10" t="s">
        <v>30</v>
      </c>
      <c r="F32" s="10" t="s">
        <v>31</v>
      </c>
      <c r="G32" s="10" t="s">
        <v>32</v>
      </c>
      <c r="H32" s="10" t="s">
        <v>52</v>
      </c>
    </row>
    <row r="33" spans="1:8" ht="39.6" x14ac:dyDescent="0.3">
      <c r="A33" s="7"/>
      <c r="B33" s="10"/>
      <c r="C33" s="9" t="s">
        <v>134</v>
      </c>
      <c r="D33" s="10" t="s">
        <v>135</v>
      </c>
      <c r="E33" s="10" t="s">
        <v>30</v>
      </c>
      <c r="F33" s="10" t="s">
        <v>31</v>
      </c>
      <c r="G33" s="10" t="s">
        <v>32</v>
      </c>
      <c r="H33" s="10" t="s">
        <v>52</v>
      </c>
    </row>
    <row r="34" spans="1:8" ht="26.4" x14ac:dyDescent="0.3">
      <c r="A34" s="7"/>
      <c r="B34" s="8" t="s">
        <v>136</v>
      </c>
      <c r="C34" s="9" t="s">
        <v>137</v>
      </c>
      <c r="D34" s="10" t="s">
        <v>138</v>
      </c>
      <c r="E34" s="10" t="s">
        <v>96</v>
      </c>
      <c r="F34" s="10" t="s">
        <v>99</v>
      </c>
      <c r="G34" s="10" t="s">
        <v>32</v>
      </c>
      <c r="H34" s="10" t="s">
        <v>139</v>
      </c>
    </row>
    <row r="35" spans="1:8" x14ac:dyDescent="0.3">
      <c r="A35" s="7"/>
      <c r="B35" s="10"/>
      <c r="C35" s="9" t="s">
        <v>140</v>
      </c>
      <c r="D35" s="10" t="s">
        <v>141</v>
      </c>
      <c r="E35" s="10" t="s">
        <v>96</v>
      </c>
      <c r="F35" s="10" t="s">
        <v>99</v>
      </c>
      <c r="G35" s="10" t="s">
        <v>32</v>
      </c>
      <c r="H35" s="10" t="s">
        <v>52</v>
      </c>
    </row>
    <row r="36" spans="1:8" ht="39.6" x14ac:dyDescent="0.3">
      <c r="A36" s="7"/>
      <c r="B36" s="8" t="s">
        <v>142</v>
      </c>
      <c r="C36" s="9" t="s">
        <v>143</v>
      </c>
      <c r="D36" s="10" t="s">
        <v>144</v>
      </c>
      <c r="E36" s="10" t="s">
        <v>37</v>
      </c>
      <c r="F36" s="10" t="s">
        <v>38</v>
      </c>
      <c r="G36" s="10" t="s">
        <v>39</v>
      </c>
      <c r="H36" s="10" t="s">
        <v>145</v>
      </c>
    </row>
    <row r="37" spans="1:8" ht="79.2" x14ac:dyDescent="0.3">
      <c r="A37" s="7" t="s">
        <v>146</v>
      </c>
      <c r="B37" s="8" t="s">
        <v>147</v>
      </c>
      <c r="C37" s="9" t="s">
        <v>148</v>
      </c>
      <c r="D37" s="10" t="s">
        <v>147</v>
      </c>
      <c r="E37" s="10" t="s">
        <v>30</v>
      </c>
      <c r="F37" s="10" t="s">
        <v>31</v>
      </c>
      <c r="G37" s="10" t="s">
        <v>32</v>
      </c>
      <c r="H37" s="10" t="s">
        <v>149</v>
      </c>
    </row>
    <row r="38" spans="1:8" ht="26.4" x14ac:dyDescent="0.3">
      <c r="A38" s="7"/>
      <c r="B38" s="8" t="s">
        <v>150</v>
      </c>
      <c r="C38" s="9" t="s">
        <v>151</v>
      </c>
      <c r="D38" s="10" t="s">
        <v>152</v>
      </c>
      <c r="E38" s="10" t="s">
        <v>96</v>
      </c>
      <c r="F38" s="10" t="s">
        <v>99</v>
      </c>
      <c r="G38" s="10" t="s">
        <v>32</v>
      </c>
      <c r="H38" s="10" t="s">
        <v>153</v>
      </c>
    </row>
    <row r="39" spans="1:8" ht="39.6" x14ac:dyDescent="0.3">
      <c r="A39" s="7"/>
      <c r="B39" s="8" t="s">
        <v>154</v>
      </c>
      <c r="C39" s="9" t="s">
        <v>155</v>
      </c>
      <c r="D39" s="10" t="s">
        <v>154</v>
      </c>
      <c r="E39" s="10" t="s">
        <v>59</v>
      </c>
      <c r="F39" s="10" t="s">
        <v>38</v>
      </c>
      <c r="G39" s="10" t="s">
        <v>60</v>
      </c>
      <c r="H39" s="10" t="s">
        <v>156</v>
      </c>
    </row>
    <row r="40" spans="1:8" ht="39.6" x14ac:dyDescent="0.3">
      <c r="A40" s="7" t="s">
        <v>157</v>
      </c>
      <c r="B40" s="8" t="s">
        <v>158</v>
      </c>
      <c r="C40" s="9" t="s">
        <v>159</v>
      </c>
      <c r="D40" s="10" t="s">
        <v>160</v>
      </c>
      <c r="E40" s="10" t="s">
        <v>30</v>
      </c>
      <c r="F40" s="10" t="s">
        <v>31</v>
      </c>
      <c r="G40" s="10" t="s">
        <v>32</v>
      </c>
      <c r="H40" s="10" t="s">
        <v>161</v>
      </c>
    </row>
    <row r="41" spans="1:8" ht="39.6" x14ac:dyDescent="0.3">
      <c r="A41" s="7"/>
      <c r="B41" s="10"/>
      <c r="C41" s="9" t="s">
        <v>162</v>
      </c>
      <c r="D41" s="10" t="s">
        <v>163</v>
      </c>
      <c r="E41" s="10" t="s">
        <v>30</v>
      </c>
      <c r="F41" s="10" t="s">
        <v>31</v>
      </c>
      <c r="G41" s="10" t="s">
        <v>32</v>
      </c>
      <c r="H41" s="10" t="s">
        <v>164</v>
      </c>
    </row>
    <row r="42" spans="1:8" ht="39.6" x14ac:dyDescent="0.3">
      <c r="A42" s="7"/>
      <c r="B42" s="10"/>
      <c r="C42" s="9" t="s">
        <v>165</v>
      </c>
      <c r="D42" s="10" t="s">
        <v>166</v>
      </c>
      <c r="E42" s="10" t="s">
        <v>30</v>
      </c>
      <c r="F42" s="10" t="s">
        <v>31</v>
      </c>
      <c r="G42" s="10" t="s">
        <v>32</v>
      </c>
      <c r="H42" s="10" t="s">
        <v>167</v>
      </c>
    </row>
    <row r="43" spans="1:8" ht="26.4" x14ac:dyDescent="0.3">
      <c r="A43" s="7"/>
      <c r="B43" s="8" t="s">
        <v>168</v>
      </c>
      <c r="C43" s="9" t="s">
        <v>169</v>
      </c>
      <c r="D43" s="10" t="s">
        <v>170</v>
      </c>
      <c r="E43" s="10" t="s">
        <v>171</v>
      </c>
      <c r="F43" s="10" t="s">
        <v>172</v>
      </c>
      <c r="G43" s="10" t="s">
        <v>32</v>
      </c>
      <c r="H43" s="10" t="s">
        <v>173</v>
      </c>
    </row>
    <row r="44" spans="1:8" ht="26.4" x14ac:dyDescent="0.3">
      <c r="A44" s="7"/>
      <c r="B44" s="10"/>
      <c r="C44" s="9" t="s">
        <v>174</v>
      </c>
      <c r="D44" s="10" t="s">
        <v>175</v>
      </c>
      <c r="E44" s="10" t="s">
        <v>171</v>
      </c>
      <c r="F44" s="10" t="s">
        <v>172</v>
      </c>
      <c r="G44" s="10" t="s">
        <v>32</v>
      </c>
      <c r="H44" s="10" t="s">
        <v>52</v>
      </c>
    </row>
    <row r="45" spans="1:8" ht="52.8" x14ac:dyDescent="0.3">
      <c r="A45" s="7"/>
      <c r="B45" s="8" t="s">
        <v>176</v>
      </c>
      <c r="C45" s="9" t="s">
        <v>177</v>
      </c>
      <c r="D45" s="10" t="s">
        <v>178</v>
      </c>
      <c r="E45" s="10" t="s">
        <v>59</v>
      </c>
      <c r="F45" s="10" t="s">
        <v>38</v>
      </c>
      <c r="G45" s="10" t="s">
        <v>60</v>
      </c>
      <c r="H45" s="10" t="s">
        <v>179</v>
      </c>
    </row>
    <row r="46" spans="1:8" ht="39.6" x14ac:dyDescent="0.3">
      <c r="A46" s="7" t="s">
        <v>180</v>
      </c>
      <c r="B46" s="11" t="s">
        <v>181</v>
      </c>
      <c r="C46" s="12" t="s">
        <v>182</v>
      </c>
      <c r="D46" s="13" t="s">
        <v>183</v>
      </c>
      <c r="E46" s="13" t="s">
        <v>184</v>
      </c>
      <c r="F46" s="13" t="s">
        <v>38</v>
      </c>
      <c r="G46" s="13" t="s">
        <v>32</v>
      </c>
      <c r="H46" s="13" t="s">
        <v>185</v>
      </c>
    </row>
    <row r="47" spans="1:8" ht="39.6" x14ac:dyDescent="0.3">
      <c r="A47" s="7"/>
      <c r="B47" s="8" t="s">
        <v>186</v>
      </c>
      <c r="C47" s="9" t="s">
        <v>187</v>
      </c>
      <c r="D47" s="10" t="s">
        <v>188</v>
      </c>
      <c r="E47" s="10" t="s">
        <v>59</v>
      </c>
      <c r="F47" s="10" t="s">
        <v>38</v>
      </c>
      <c r="G47" s="10" t="s">
        <v>60</v>
      </c>
      <c r="H47" s="10" t="s">
        <v>189</v>
      </c>
    </row>
    <row r="48" spans="1:8" ht="39.6" x14ac:dyDescent="0.3">
      <c r="A48" s="7"/>
      <c r="B48" s="10"/>
      <c r="C48" s="9" t="s">
        <v>190</v>
      </c>
      <c r="D48" s="10" t="s">
        <v>191</v>
      </c>
      <c r="E48" s="10" t="s">
        <v>59</v>
      </c>
      <c r="F48" s="10" t="s">
        <v>38</v>
      </c>
      <c r="G48" s="10" t="s">
        <v>60</v>
      </c>
      <c r="H48" s="10" t="s">
        <v>192</v>
      </c>
    </row>
    <row r="49" spans="1:8" ht="39.6" x14ac:dyDescent="0.3">
      <c r="A49" s="7"/>
      <c r="B49" s="11" t="s">
        <v>193</v>
      </c>
      <c r="C49" s="12" t="s">
        <v>194</v>
      </c>
      <c r="D49" s="13" t="s">
        <v>195</v>
      </c>
      <c r="E49" s="13" t="s">
        <v>78</v>
      </c>
      <c r="F49" s="13" t="s">
        <v>38</v>
      </c>
      <c r="G49" s="13" t="s">
        <v>32</v>
      </c>
      <c r="H49" s="13" t="s">
        <v>196</v>
      </c>
    </row>
    <row r="50" spans="1:8" ht="26.4" x14ac:dyDescent="0.3">
      <c r="A50" s="7" t="s">
        <v>197</v>
      </c>
      <c r="B50" s="8" t="s">
        <v>198</v>
      </c>
      <c r="C50" s="9" t="s">
        <v>199</v>
      </c>
      <c r="D50" s="10" t="s">
        <v>200</v>
      </c>
      <c r="E50" s="10" t="s">
        <v>84</v>
      </c>
      <c r="F50" s="10" t="s">
        <v>85</v>
      </c>
      <c r="G50" s="10" t="s">
        <v>32</v>
      </c>
      <c r="H50" s="10" t="s">
        <v>201</v>
      </c>
    </row>
    <row r="51" spans="1:8" x14ac:dyDescent="0.3">
      <c r="A51" s="7"/>
      <c r="B51" s="8" t="s">
        <v>202</v>
      </c>
      <c r="C51" s="9" t="s">
        <v>203</v>
      </c>
      <c r="D51" s="10" t="s">
        <v>204</v>
      </c>
      <c r="E51" s="10" t="s">
        <v>96</v>
      </c>
      <c r="F51" s="10" t="s">
        <v>99</v>
      </c>
      <c r="G51" s="10" t="s">
        <v>32</v>
      </c>
      <c r="H51" s="10" t="s">
        <v>205</v>
      </c>
    </row>
    <row r="52" spans="1:8" ht="39.6" x14ac:dyDescent="0.3">
      <c r="A52" s="7"/>
      <c r="B52" s="8" t="s">
        <v>206</v>
      </c>
      <c r="C52" s="9" t="s">
        <v>207</v>
      </c>
      <c r="D52" s="10" t="s">
        <v>208</v>
      </c>
      <c r="E52" s="10" t="s">
        <v>59</v>
      </c>
      <c r="F52" s="10" t="s">
        <v>38</v>
      </c>
      <c r="G52" s="10" t="s">
        <v>60</v>
      </c>
      <c r="H52" s="10" t="s">
        <v>209</v>
      </c>
    </row>
    <row r="53" spans="1:8" ht="39.6" x14ac:dyDescent="0.3">
      <c r="A53" s="7" t="s">
        <v>210</v>
      </c>
      <c r="B53" s="14" t="s">
        <v>211</v>
      </c>
      <c r="C53" s="14" t="s">
        <v>212</v>
      </c>
      <c r="D53" s="14" t="s">
        <v>213</v>
      </c>
      <c r="E53" s="14" t="s">
        <v>212</v>
      </c>
      <c r="F53" s="14" t="s">
        <v>212</v>
      </c>
      <c r="G53" s="14" t="s">
        <v>212</v>
      </c>
      <c r="H53" s="14" t="s">
        <v>212</v>
      </c>
    </row>
    <row r="55" spans="1:8" x14ac:dyDescent="0.3">
      <c r="C55" s="15">
        <f>COUNTIF(C2:C53,"*.*")</f>
        <v>51</v>
      </c>
      <c r="D55" s="15" t="s">
        <v>214</v>
      </c>
    </row>
    <row r="56" spans="1:8" ht="45.6" x14ac:dyDescent="0.3">
      <c r="D56" s="2" t="s">
        <v>215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6"/>
  <sheetViews>
    <sheetView workbookViewId="0">
      <pane xSplit="4" ySplit="1" topLeftCell="E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2" customWidth="1"/>
    <col min="2" max="2" width="24" customWidth="1"/>
    <col min="3" max="3" width="50" customWidth="1"/>
    <col min="4" max="4" width="20" customWidth="1"/>
    <col min="5" max="9" width="16" customWidth="1"/>
  </cols>
  <sheetData>
    <row r="1" spans="1:9" x14ac:dyDescent="0.3">
      <c r="A1" s="6" t="s">
        <v>23</v>
      </c>
      <c r="B1" s="6" t="s">
        <v>21</v>
      </c>
      <c r="C1" s="6" t="s">
        <v>22</v>
      </c>
      <c r="D1" s="6" t="s">
        <v>19</v>
      </c>
      <c r="E1" s="6" t="s">
        <v>216</v>
      </c>
      <c r="F1" s="6" t="s">
        <v>217</v>
      </c>
      <c r="G1" s="6" t="s">
        <v>112</v>
      </c>
      <c r="H1" s="6" t="s">
        <v>218</v>
      </c>
      <c r="I1" s="6" t="s">
        <v>219</v>
      </c>
    </row>
    <row r="2" spans="1:9" x14ac:dyDescent="0.3">
      <c r="A2" s="10" t="s">
        <v>84</v>
      </c>
      <c r="B2" s="9" t="s">
        <v>82</v>
      </c>
      <c r="C2" s="10" t="s">
        <v>83</v>
      </c>
      <c r="D2" s="10" t="s">
        <v>220</v>
      </c>
      <c r="E2" s="16" t="s">
        <v>221</v>
      </c>
      <c r="F2" s="16" t="s">
        <v>221</v>
      </c>
      <c r="G2" s="16" t="s">
        <v>221</v>
      </c>
      <c r="H2" s="17" t="s">
        <v>212</v>
      </c>
      <c r="I2" s="17" t="s">
        <v>212</v>
      </c>
    </row>
    <row r="3" spans="1:9" x14ac:dyDescent="0.3">
      <c r="A3" s="10" t="s">
        <v>84</v>
      </c>
      <c r="B3" s="9" t="s">
        <v>87</v>
      </c>
      <c r="C3" s="10" t="s">
        <v>88</v>
      </c>
      <c r="D3" s="10" t="s">
        <v>220</v>
      </c>
      <c r="E3" s="16" t="s">
        <v>221</v>
      </c>
      <c r="F3" s="16" t="s">
        <v>221</v>
      </c>
      <c r="G3" s="16" t="s">
        <v>221</v>
      </c>
      <c r="H3" s="17" t="s">
        <v>212</v>
      </c>
      <c r="I3" s="17" t="s">
        <v>212</v>
      </c>
    </row>
    <row r="4" spans="1:9" x14ac:dyDescent="0.3">
      <c r="A4" s="10" t="s">
        <v>84</v>
      </c>
      <c r="B4" s="9" t="s">
        <v>89</v>
      </c>
      <c r="C4" s="10" t="s">
        <v>90</v>
      </c>
      <c r="D4" s="10" t="s">
        <v>220</v>
      </c>
      <c r="E4" s="16" t="s">
        <v>221</v>
      </c>
      <c r="F4" s="16" t="s">
        <v>221</v>
      </c>
      <c r="G4" s="16" t="s">
        <v>221</v>
      </c>
      <c r="H4" s="17" t="s">
        <v>212</v>
      </c>
      <c r="I4" s="17" t="s">
        <v>212</v>
      </c>
    </row>
    <row r="5" spans="1:9" x14ac:dyDescent="0.3">
      <c r="A5" s="10" t="s">
        <v>84</v>
      </c>
      <c r="B5" s="9" t="s">
        <v>91</v>
      </c>
      <c r="C5" s="10" t="s">
        <v>92</v>
      </c>
      <c r="D5" s="10" t="s">
        <v>220</v>
      </c>
      <c r="E5" s="16" t="s">
        <v>221</v>
      </c>
      <c r="F5" s="16" t="s">
        <v>221</v>
      </c>
      <c r="G5" s="16" t="s">
        <v>221</v>
      </c>
      <c r="H5" s="17" t="s">
        <v>212</v>
      </c>
      <c r="I5" s="17" t="s">
        <v>212</v>
      </c>
    </row>
    <row r="6" spans="1:9" x14ac:dyDescent="0.3">
      <c r="A6" s="10" t="s">
        <v>84</v>
      </c>
      <c r="B6" s="9" t="s">
        <v>94</v>
      </c>
      <c r="C6" s="10" t="s">
        <v>95</v>
      </c>
      <c r="D6" s="10" t="s">
        <v>220</v>
      </c>
      <c r="E6" s="16" t="s">
        <v>221</v>
      </c>
      <c r="F6" s="16" t="s">
        <v>221</v>
      </c>
      <c r="G6" s="16" t="s">
        <v>221</v>
      </c>
      <c r="H6" s="17" t="s">
        <v>212</v>
      </c>
      <c r="I6" s="17" t="s">
        <v>212</v>
      </c>
    </row>
    <row r="7" spans="1:9" x14ac:dyDescent="0.3">
      <c r="A7" s="10" t="s">
        <v>84</v>
      </c>
      <c r="B7" s="9" t="s">
        <v>199</v>
      </c>
      <c r="C7" s="10" t="s">
        <v>200</v>
      </c>
      <c r="D7" s="10" t="s">
        <v>222</v>
      </c>
      <c r="E7" s="16" t="s">
        <v>221</v>
      </c>
      <c r="F7" s="16" t="s">
        <v>221</v>
      </c>
      <c r="G7" s="16" t="s">
        <v>221</v>
      </c>
      <c r="H7" s="17" t="s">
        <v>212</v>
      </c>
      <c r="I7" s="17" t="s">
        <v>212</v>
      </c>
    </row>
    <row r="8" spans="1:9" x14ac:dyDescent="0.3">
      <c r="A8" s="10" t="s">
        <v>96</v>
      </c>
      <c r="B8" s="9" t="s">
        <v>97</v>
      </c>
      <c r="C8" s="10" t="s">
        <v>98</v>
      </c>
      <c r="D8" s="10" t="s">
        <v>220</v>
      </c>
      <c r="E8" s="17" t="s">
        <v>212</v>
      </c>
      <c r="F8" s="16" t="s">
        <v>221</v>
      </c>
      <c r="G8" s="16" t="s">
        <v>221</v>
      </c>
      <c r="H8" s="17" t="s">
        <v>212</v>
      </c>
      <c r="I8" s="17" t="s">
        <v>212</v>
      </c>
    </row>
    <row r="9" spans="1:9" x14ac:dyDescent="0.3">
      <c r="A9" s="10" t="s">
        <v>96</v>
      </c>
      <c r="B9" s="9" t="s">
        <v>100</v>
      </c>
      <c r="C9" s="10" t="s">
        <v>101</v>
      </c>
      <c r="D9" s="10" t="s">
        <v>220</v>
      </c>
      <c r="E9" s="17" t="s">
        <v>212</v>
      </c>
      <c r="F9" s="16" t="s">
        <v>221</v>
      </c>
      <c r="G9" s="16" t="s">
        <v>221</v>
      </c>
      <c r="H9" s="17" t="s">
        <v>212</v>
      </c>
      <c r="I9" s="17" t="s">
        <v>212</v>
      </c>
    </row>
    <row r="10" spans="1:9" x14ac:dyDescent="0.3">
      <c r="A10" s="10" t="s">
        <v>96</v>
      </c>
      <c r="B10" s="9" t="s">
        <v>102</v>
      </c>
      <c r="C10" s="10" t="s">
        <v>103</v>
      </c>
      <c r="D10" s="10" t="s">
        <v>220</v>
      </c>
      <c r="E10" s="17" t="s">
        <v>212</v>
      </c>
      <c r="F10" s="16" t="s">
        <v>221</v>
      </c>
      <c r="G10" s="16" t="s">
        <v>221</v>
      </c>
      <c r="H10" s="17" t="s">
        <v>212</v>
      </c>
      <c r="I10" s="17" t="s">
        <v>212</v>
      </c>
    </row>
    <row r="11" spans="1:9" x14ac:dyDescent="0.3">
      <c r="A11" s="10" t="s">
        <v>96</v>
      </c>
      <c r="B11" s="9" t="s">
        <v>104</v>
      </c>
      <c r="C11" s="10" t="s">
        <v>105</v>
      </c>
      <c r="D11" s="10" t="s">
        <v>220</v>
      </c>
      <c r="E11" s="17" t="s">
        <v>212</v>
      </c>
      <c r="F11" s="16" t="s">
        <v>221</v>
      </c>
      <c r="G11" s="16" t="s">
        <v>221</v>
      </c>
      <c r="H11" s="17" t="s">
        <v>212</v>
      </c>
      <c r="I11" s="17" t="s">
        <v>212</v>
      </c>
    </row>
    <row r="12" spans="1:9" x14ac:dyDescent="0.3">
      <c r="A12" s="10" t="s">
        <v>96</v>
      </c>
      <c r="B12" s="9" t="s">
        <v>106</v>
      </c>
      <c r="C12" s="10" t="s">
        <v>107</v>
      </c>
      <c r="D12" s="10" t="s">
        <v>220</v>
      </c>
      <c r="E12" s="17" t="s">
        <v>212</v>
      </c>
      <c r="F12" s="16" t="s">
        <v>221</v>
      </c>
      <c r="G12" s="16" t="s">
        <v>221</v>
      </c>
      <c r="H12" s="17" t="s">
        <v>212</v>
      </c>
      <c r="I12" s="17" t="s">
        <v>212</v>
      </c>
    </row>
    <row r="13" spans="1:9" x14ac:dyDescent="0.3">
      <c r="A13" s="10" t="s">
        <v>96</v>
      </c>
      <c r="B13" s="9" t="s">
        <v>137</v>
      </c>
      <c r="C13" s="10" t="s">
        <v>138</v>
      </c>
      <c r="D13" s="10" t="s">
        <v>223</v>
      </c>
      <c r="E13" s="17" t="s">
        <v>212</v>
      </c>
      <c r="F13" s="16" t="s">
        <v>221</v>
      </c>
      <c r="G13" s="16" t="s">
        <v>221</v>
      </c>
      <c r="H13" s="17" t="s">
        <v>212</v>
      </c>
      <c r="I13" s="17" t="s">
        <v>212</v>
      </c>
    </row>
    <row r="14" spans="1:9" x14ac:dyDescent="0.3">
      <c r="A14" s="10" t="s">
        <v>96</v>
      </c>
      <c r="B14" s="9" t="s">
        <v>140</v>
      </c>
      <c r="C14" s="10" t="s">
        <v>141</v>
      </c>
      <c r="D14" s="10" t="s">
        <v>223</v>
      </c>
      <c r="E14" s="17" t="s">
        <v>212</v>
      </c>
      <c r="F14" s="16" t="s">
        <v>221</v>
      </c>
      <c r="G14" s="16" t="s">
        <v>221</v>
      </c>
      <c r="H14" s="17" t="s">
        <v>212</v>
      </c>
      <c r="I14" s="17" t="s">
        <v>212</v>
      </c>
    </row>
    <row r="15" spans="1:9" x14ac:dyDescent="0.3">
      <c r="A15" s="10" t="s">
        <v>96</v>
      </c>
      <c r="B15" s="9" t="s">
        <v>203</v>
      </c>
      <c r="C15" s="10" t="s">
        <v>204</v>
      </c>
      <c r="D15" s="10" t="s">
        <v>222</v>
      </c>
      <c r="E15" s="17" t="s">
        <v>212</v>
      </c>
      <c r="F15" s="16" t="s">
        <v>221</v>
      </c>
      <c r="G15" s="16" t="s">
        <v>221</v>
      </c>
      <c r="H15" s="17" t="s">
        <v>212</v>
      </c>
      <c r="I15" s="17" t="s">
        <v>212</v>
      </c>
    </row>
    <row r="16" spans="1:9" ht="26.4" x14ac:dyDescent="0.3">
      <c r="A16" s="10" t="s">
        <v>96</v>
      </c>
      <c r="B16" s="9" t="s">
        <v>151</v>
      </c>
      <c r="C16" s="10" t="s">
        <v>152</v>
      </c>
      <c r="D16" s="10" t="s">
        <v>224</v>
      </c>
      <c r="E16" s="17" t="s">
        <v>212</v>
      </c>
      <c r="F16" s="16" t="s">
        <v>221</v>
      </c>
      <c r="G16" s="16" t="s">
        <v>221</v>
      </c>
      <c r="H16" s="17" t="s">
        <v>212</v>
      </c>
      <c r="I16" s="17" t="s">
        <v>212</v>
      </c>
    </row>
    <row r="17" spans="1:9" x14ac:dyDescent="0.3">
      <c r="A17" s="10" t="s">
        <v>111</v>
      </c>
      <c r="B17" s="9" t="s">
        <v>109</v>
      </c>
      <c r="C17" s="10" t="s">
        <v>110</v>
      </c>
      <c r="D17" s="10" t="s">
        <v>220</v>
      </c>
      <c r="E17" s="17" t="s">
        <v>212</v>
      </c>
      <c r="F17" s="17" t="s">
        <v>212</v>
      </c>
      <c r="G17" s="16" t="s">
        <v>221</v>
      </c>
      <c r="H17" s="17" t="s">
        <v>212</v>
      </c>
      <c r="I17" s="17" t="s">
        <v>212</v>
      </c>
    </row>
    <row r="18" spans="1:9" x14ac:dyDescent="0.3">
      <c r="A18" s="10" t="s">
        <v>111</v>
      </c>
      <c r="B18" s="9" t="s">
        <v>113</v>
      </c>
      <c r="C18" s="10" t="s">
        <v>114</v>
      </c>
      <c r="D18" s="10" t="s">
        <v>220</v>
      </c>
      <c r="E18" s="17" t="s">
        <v>212</v>
      </c>
      <c r="F18" s="17" t="s">
        <v>212</v>
      </c>
      <c r="G18" s="16" t="s">
        <v>221</v>
      </c>
      <c r="H18" s="17" t="s">
        <v>212</v>
      </c>
      <c r="I18" s="17" t="s">
        <v>212</v>
      </c>
    </row>
    <row r="19" spans="1:9" x14ac:dyDescent="0.3">
      <c r="A19" s="10" t="s">
        <v>111</v>
      </c>
      <c r="B19" s="9" t="s">
        <v>115</v>
      </c>
      <c r="C19" s="10" t="s">
        <v>116</v>
      </c>
      <c r="D19" s="10" t="s">
        <v>220</v>
      </c>
      <c r="E19" s="17" t="s">
        <v>212</v>
      </c>
      <c r="F19" s="17" t="s">
        <v>212</v>
      </c>
      <c r="G19" s="16" t="s">
        <v>221</v>
      </c>
      <c r="H19" s="17" t="s">
        <v>212</v>
      </c>
      <c r="I19" s="17" t="s">
        <v>212</v>
      </c>
    </row>
    <row r="20" spans="1:9" x14ac:dyDescent="0.3">
      <c r="A20" s="13" t="s">
        <v>184</v>
      </c>
      <c r="B20" s="12" t="s">
        <v>182</v>
      </c>
      <c r="C20" s="13" t="s">
        <v>183</v>
      </c>
      <c r="D20" s="13" t="s">
        <v>225</v>
      </c>
      <c r="E20" s="18" t="s">
        <v>212</v>
      </c>
      <c r="F20" s="18" t="s">
        <v>212</v>
      </c>
      <c r="G20" s="18" t="s">
        <v>212</v>
      </c>
      <c r="H20" s="18" t="s">
        <v>212</v>
      </c>
      <c r="I20" s="18" t="s">
        <v>212</v>
      </c>
    </row>
    <row r="21" spans="1:9" ht="26.4" x14ac:dyDescent="0.3">
      <c r="A21" s="10" t="s">
        <v>30</v>
      </c>
      <c r="B21" s="9" t="s">
        <v>29</v>
      </c>
      <c r="C21" s="10" t="s">
        <v>28</v>
      </c>
      <c r="D21" s="10" t="s">
        <v>226</v>
      </c>
      <c r="E21" s="16" t="s">
        <v>221</v>
      </c>
      <c r="F21" s="16" t="s">
        <v>221</v>
      </c>
      <c r="G21" s="16" t="s">
        <v>221</v>
      </c>
      <c r="H21" s="16" t="s">
        <v>221</v>
      </c>
      <c r="I21" s="16" t="s">
        <v>221</v>
      </c>
    </row>
    <row r="22" spans="1:9" ht="26.4" x14ac:dyDescent="0.3">
      <c r="A22" s="10" t="s">
        <v>30</v>
      </c>
      <c r="B22" s="9" t="s">
        <v>159</v>
      </c>
      <c r="C22" s="10" t="s">
        <v>160</v>
      </c>
      <c r="D22" s="10" t="s">
        <v>227</v>
      </c>
      <c r="E22" s="16" t="s">
        <v>221</v>
      </c>
      <c r="F22" s="16" t="s">
        <v>221</v>
      </c>
      <c r="G22" s="16" t="s">
        <v>221</v>
      </c>
      <c r="H22" s="16" t="s">
        <v>221</v>
      </c>
      <c r="I22" s="16" t="s">
        <v>221</v>
      </c>
    </row>
    <row r="23" spans="1:9" ht="26.4" x14ac:dyDescent="0.3">
      <c r="A23" s="10" t="s">
        <v>30</v>
      </c>
      <c r="B23" s="9" t="s">
        <v>162</v>
      </c>
      <c r="C23" s="10" t="s">
        <v>163</v>
      </c>
      <c r="D23" s="10" t="s">
        <v>227</v>
      </c>
      <c r="E23" s="16" t="s">
        <v>221</v>
      </c>
      <c r="F23" s="16" t="s">
        <v>221</v>
      </c>
      <c r="G23" s="16" t="s">
        <v>221</v>
      </c>
      <c r="H23" s="16" t="s">
        <v>221</v>
      </c>
      <c r="I23" s="16" t="s">
        <v>221</v>
      </c>
    </row>
    <row r="24" spans="1:9" ht="26.4" x14ac:dyDescent="0.3">
      <c r="A24" s="10" t="s">
        <v>30</v>
      </c>
      <c r="B24" s="9" t="s">
        <v>165</v>
      </c>
      <c r="C24" s="10" t="s">
        <v>166</v>
      </c>
      <c r="D24" s="10" t="s">
        <v>227</v>
      </c>
      <c r="E24" s="16" t="s">
        <v>221</v>
      </c>
      <c r="F24" s="16" t="s">
        <v>221</v>
      </c>
      <c r="G24" s="16" t="s">
        <v>221</v>
      </c>
      <c r="H24" s="16" t="s">
        <v>221</v>
      </c>
      <c r="I24" s="16" t="s">
        <v>221</v>
      </c>
    </row>
    <row r="25" spans="1:9" ht="26.4" x14ac:dyDescent="0.3">
      <c r="A25" s="10" t="s">
        <v>30</v>
      </c>
      <c r="B25" s="9" t="s">
        <v>148</v>
      </c>
      <c r="C25" s="10" t="s">
        <v>147</v>
      </c>
      <c r="D25" s="10" t="s">
        <v>224</v>
      </c>
      <c r="E25" s="16" t="s">
        <v>221</v>
      </c>
      <c r="F25" s="16" t="s">
        <v>221</v>
      </c>
      <c r="G25" s="16" t="s">
        <v>221</v>
      </c>
      <c r="H25" s="16" t="s">
        <v>221</v>
      </c>
      <c r="I25" s="16" t="s">
        <v>221</v>
      </c>
    </row>
    <row r="26" spans="1:9" ht="26.4" x14ac:dyDescent="0.3">
      <c r="A26" s="10" t="s">
        <v>30</v>
      </c>
      <c r="B26" s="9" t="s">
        <v>134</v>
      </c>
      <c r="C26" s="10" t="s">
        <v>135</v>
      </c>
      <c r="D26" s="10" t="s">
        <v>223</v>
      </c>
      <c r="E26" s="16" t="s">
        <v>221</v>
      </c>
      <c r="F26" s="16" t="s">
        <v>221</v>
      </c>
      <c r="G26" s="16" t="s">
        <v>221</v>
      </c>
      <c r="H26" s="16" t="s">
        <v>221</v>
      </c>
      <c r="I26" s="16" t="s">
        <v>221</v>
      </c>
    </row>
    <row r="27" spans="1:9" ht="26.4" x14ac:dyDescent="0.3">
      <c r="A27" s="10" t="s">
        <v>30</v>
      </c>
      <c r="B27" s="9" t="s">
        <v>129</v>
      </c>
      <c r="C27" s="10" t="s">
        <v>130</v>
      </c>
      <c r="D27" s="10" t="s">
        <v>223</v>
      </c>
      <c r="E27" s="16" t="s">
        <v>221</v>
      </c>
      <c r="F27" s="16" t="s">
        <v>221</v>
      </c>
      <c r="G27" s="16" t="s">
        <v>221</v>
      </c>
      <c r="H27" s="16" t="s">
        <v>221</v>
      </c>
      <c r="I27" s="16" t="s">
        <v>221</v>
      </c>
    </row>
    <row r="28" spans="1:9" ht="26.4" x14ac:dyDescent="0.3">
      <c r="A28" s="10" t="s">
        <v>30</v>
      </c>
      <c r="B28" s="9" t="s">
        <v>132</v>
      </c>
      <c r="C28" s="10" t="s">
        <v>133</v>
      </c>
      <c r="D28" s="10" t="s">
        <v>223</v>
      </c>
      <c r="E28" s="16" t="s">
        <v>221</v>
      </c>
      <c r="F28" s="16" t="s">
        <v>221</v>
      </c>
      <c r="G28" s="16" t="s">
        <v>221</v>
      </c>
      <c r="H28" s="16" t="s">
        <v>221</v>
      </c>
      <c r="I28" s="16" t="s">
        <v>221</v>
      </c>
    </row>
    <row r="29" spans="1:9" ht="26.4" x14ac:dyDescent="0.3">
      <c r="A29" s="10" t="s">
        <v>171</v>
      </c>
      <c r="B29" s="9" t="s">
        <v>169</v>
      </c>
      <c r="C29" s="10" t="s">
        <v>170</v>
      </c>
      <c r="D29" s="10" t="s">
        <v>227</v>
      </c>
      <c r="E29" s="17" t="s">
        <v>212</v>
      </c>
      <c r="F29" s="17" t="s">
        <v>212</v>
      </c>
      <c r="G29" s="16" t="s">
        <v>221</v>
      </c>
      <c r="H29" s="17" t="s">
        <v>212</v>
      </c>
      <c r="I29" s="16" t="s">
        <v>221</v>
      </c>
    </row>
    <row r="30" spans="1:9" ht="26.4" x14ac:dyDescent="0.3">
      <c r="A30" s="10" t="s">
        <v>171</v>
      </c>
      <c r="B30" s="9" t="s">
        <v>174</v>
      </c>
      <c r="C30" s="10" t="s">
        <v>175</v>
      </c>
      <c r="D30" s="10" t="s">
        <v>227</v>
      </c>
      <c r="E30" s="17" t="s">
        <v>212</v>
      </c>
      <c r="F30" s="17" t="s">
        <v>212</v>
      </c>
      <c r="G30" s="16" t="s">
        <v>221</v>
      </c>
      <c r="H30" s="17" t="s">
        <v>212</v>
      </c>
      <c r="I30" s="16" t="s">
        <v>221</v>
      </c>
    </row>
    <row r="31" spans="1:9" x14ac:dyDescent="0.3">
      <c r="A31" s="10" t="s">
        <v>37</v>
      </c>
      <c r="B31" s="9" t="s">
        <v>35</v>
      </c>
      <c r="C31" s="10" t="s">
        <v>36</v>
      </c>
      <c r="D31" s="10" t="s">
        <v>226</v>
      </c>
      <c r="E31" s="17" t="s">
        <v>212</v>
      </c>
      <c r="F31" s="17" t="s">
        <v>212</v>
      </c>
      <c r="G31" s="17" t="s">
        <v>212</v>
      </c>
      <c r="H31" s="17" t="s">
        <v>212</v>
      </c>
      <c r="I31" s="17" t="s">
        <v>212</v>
      </c>
    </row>
    <row r="32" spans="1:9" x14ac:dyDescent="0.3">
      <c r="A32" s="10" t="s">
        <v>37</v>
      </c>
      <c r="B32" s="9" t="s">
        <v>143</v>
      </c>
      <c r="C32" s="10" t="s">
        <v>144</v>
      </c>
      <c r="D32" s="10" t="s">
        <v>223</v>
      </c>
      <c r="E32" s="17" t="s">
        <v>212</v>
      </c>
      <c r="F32" s="17" t="s">
        <v>212</v>
      </c>
      <c r="G32" s="17" t="s">
        <v>212</v>
      </c>
      <c r="H32" s="17" t="s">
        <v>212</v>
      </c>
      <c r="I32" s="17" t="s">
        <v>212</v>
      </c>
    </row>
    <row r="33" spans="1:9" x14ac:dyDescent="0.3">
      <c r="A33" s="10" t="s">
        <v>37</v>
      </c>
      <c r="B33" s="9" t="s">
        <v>47</v>
      </c>
      <c r="C33" s="10" t="s">
        <v>48</v>
      </c>
      <c r="D33" s="10" t="s">
        <v>226</v>
      </c>
      <c r="E33" s="17" t="s">
        <v>212</v>
      </c>
      <c r="F33" s="17" t="s">
        <v>212</v>
      </c>
      <c r="G33" s="17" t="s">
        <v>212</v>
      </c>
      <c r="H33" s="17" t="s">
        <v>212</v>
      </c>
      <c r="I33" s="17" t="s">
        <v>212</v>
      </c>
    </row>
    <row r="34" spans="1:9" x14ac:dyDescent="0.3">
      <c r="A34" s="10" t="s">
        <v>37</v>
      </c>
      <c r="B34" s="9" t="s">
        <v>44</v>
      </c>
      <c r="C34" s="10" t="s">
        <v>45</v>
      </c>
      <c r="D34" s="10" t="s">
        <v>226</v>
      </c>
      <c r="E34" s="17" t="s">
        <v>212</v>
      </c>
      <c r="F34" s="17" t="s">
        <v>212</v>
      </c>
      <c r="G34" s="17" t="s">
        <v>212</v>
      </c>
      <c r="H34" s="17" t="s">
        <v>212</v>
      </c>
      <c r="I34" s="17" t="s">
        <v>212</v>
      </c>
    </row>
    <row r="35" spans="1:9" x14ac:dyDescent="0.3">
      <c r="A35" s="10" t="s">
        <v>37</v>
      </c>
      <c r="B35" s="9" t="s">
        <v>41</v>
      </c>
      <c r="C35" s="10" t="s">
        <v>42</v>
      </c>
      <c r="D35" s="10" t="s">
        <v>226</v>
      </c>
      <c r="E35" s="17" t="s">
        <v>212</v>
      </c>
      <c r="F35" s="17" t="s">
        <v>212</v>
      </c>
      <c r="G35" s="17" t="s">
        <v>212</v>
      </c>
      <c r="H35" s="17" t="s">
        <v>212</v>
      </c>
      <c r="I35" s="17" t="s">
        <v>212</v>
      </c>
    </row>
    <row r="36" spans="1:9" x14ac:dyDescent="0.3">
      <c r="A36" s="10" t="s">
        <v>37</v>
      </c>
      <c r="B36" s="9" t="s">
        <v>50</v>
      </c>
      <c r="C36" s="10" t="s">
        <v>51</v>
      </c>
      <c r="D36" s="10" t="s">
        <v>226</v>
      </c>
      <c r="E36" s="17" t="s">
        <v>212</v>
      </c>
      <c r="F36" s="17" t="s">
        <v>212</v>
      </c>
      <c r="G36" s="17" t="s">
        <v>212</v>
      </c>
      <c r="H36" s="17" t="s">
        <v>212</v>
      </c>
      <c r="I36" s="17" t="s">
        <v>212</v>
      </c>
    </row>
    <row r="37" spans="1:9" x14ac:dyDescent="0.3">
      <c r="A37" s="10" t="s">
        <v>37</v>
      </c>
      <c r="B37" s="9" t="s">
        <v>53</v>
      </c>
      <c r="C37" s="10" t="s">
        <v>54</v>
      </c>
      <c r="D37" s="10" t="s">
        <v>226</v>
      </c>
      <c r="E37" s="17" t="s">
        <v>212</v>
      </c>
      <c r="F37" s="17" t="s">
        <v>212</v>
      </c>
      <c r="G37" s="17" t="s">
        <v>212</v>
      </c>
      <c r="H37" s="17" t="s">
        <v>212</v>
      </c>
      <c r="I37" s="17" t="s">
        <v>212</v>
      </c>
    </row>
    <row r="38" spans="1:9" ht="26.4" x14ac:dyDescent="0.3">
      <c r="A38" s="10" t="s">
        <v>59</v>
      </c>
      <c r="B38" s="9" t="s">
        <v>177</v>
      </c>
      <c r="C38" s="10" t="s">
        <v>178</v>
      </c>
      <c r="D38" s="10" t="s">
        <v>227</v>
      </c>
      <c r="E38" s="17" t="s">
        <v>212</v>
      </c>
      <c r="F38" s="17" t="s">
        <v>212</v>
      </c>
      <c r="G38" s="17" t="s">
        <v>212</v>
      </c>
      <c r="H38" s="17" t="s">
        <v>212</v>
      </c>
      <c r="I38" s="17" t="s">
        <v>212</v>
      </c>
    </row>
    <row r="39" spans="1:9" x14ac:dyDescent="0.3">
      <c r="A39" s="10" t="s">
        <v>59</v>
      </c>
      <c r="B39" s="9" t="s">
        <v>118</v>
      </c>
      <c r="C39" s="10" t="s">
        <v>119</v>
      </c>
      <c r="D39" s="10" t="s">
        <v>220</v>
      </c>
      <c r="E39" s="17" t="s">
        <v>212</v>
      </c>
      <c r="F39" s="17" t="s">
        <v>212</v>
      </c>
      <c r="G39" s="17" t="s">
        <v>212</v>
      </c>
      <c r="H39" s="17" t="s">
        <v>212</v>
      </c>
      <c r="I39" s="17" t="s">
        <v>212</v>
      </c>
    </row>
    <row r="40" spans="1:9" x14ac:dyDescent="0.3">
      <c r="A40" s="10" t="s">
        <v>59</v>
      </c>
      <c r="B40" s="9" t="s">
        <v>121</v>
      </c>
      <c r="C40" s="10" t="s">
        <v>122</v>
      </c>
      <c r="D40" s="10" t="s">
        <v>220</v>
      </c>
      <c r="E40" s="17" t="s">
        <v>212</v>
      </c>
      <c r="F40" s="17" t="s">
        <v>212</v>
      </c>
      <c r="G40" s="17" t="s">
        <v>212</v>
      </c>
      <c r="H40" s="17" t="s">
        <v>212</v>
      </c>
      <c r="I40" s="17" t="s">
        <v>212</v>
      </c>
    </row>
    <row r="41" spans="1:9" x14ac:dyDescent="0.3">
      <c r="A41" s="10" t="s">
        <v>59</v>
      </c>
      <c r="B41" s="9" t="s">
        <v>57</v>
      </c>
      <c r="C41" s="10" t="s">
        <v>58</v>
      </c>
      <c r="D41" s="10" t="s">
        <v>226</v>
      </c>
      <c r="E41" s="17" t="s">
        <v>212</v>
      </c>
      <c r="F41" s="17" t="s">
        <v>212</v>
      </c>
      <c r="G41" s="17" t="s">
        <v>212</v>
      </c>
      <c r="H41" s="17" t="s">
        <v>212</v>
      </c>
      <c r="I41" s="17" t="s">
        <v>212</v>
      </c>
    </row>
    <row r="42" spans="1:9" x14ac:dyDescent="0.3">
      <c r="A42" s="10" t="s">
        <v>59</v>
      </c>
      <c r="B42" s="9" t="s">
        <v>187</v>
      </c>
      <c r="C42" s="10" t="s">
        <v>188</v>
      </c>
      <c r="D42" s="10" t="s">
        <v>225</v>
      </c>
      <c r="E42" s="17" t="s">
        <v>212</v>
      </c>
      <c r="F42" s="17" t="s">
        <v>212</v>
      </c>
      <c r="G42" s="17" t="s">
        <v>212</v>
      </c>
      <c r="H42" s="17" t="s">
        <v>212</v>
      </c>
      <c r="I42" s="17" t="s">
        <v>212</v>
      </c>
    </row>
    <row r="43" spans="1:9" x14ac:dyDescent="0.3">
      <c r="A43" s="10" t="s">
        <v>59</v>
      </c>
      <c r="B43" s="9" t="s">
        <v>190</v>
      </c>
      <c r="C43" s="10" t="s">
        <v>191</v>
      </c>
      <c r="D43" s="10" t="s">
        <v>225</v>
      </c>
      <c r="E43" s="17" t="s">
        <v>212</v>
      </c>
      <c r="F43" s="17" t="s">
        <v>212</v>
      </c>
      <c r="G43" s="17" t="s">
        <v>212</v>
      </c>
      <c r="H43" s="17" t="s">
        <v>212</v>
      </c>
      <c r="I43" s="17" t="s">
        <v>212</v>
      </c>
    </row>
    <row r="44" spans="1:9" x14ac:dyDescent="0.3">
      <c r="A44" s="10" t="s">
        <v>59</v>
      </c>
      <c r="B44" s="9" t="s">
        <v>124</v>
      </c>
      <c r="C44" s="10" t="s">
        <v>125</v>
      </c>
      <c r="D44" s="10" t="s">
        <v>220</v>
      </c>
      <c r="E44" s="17" t="s">
        <v>212</v>
      </c>
      <c r="F44" s="17" t="s">
        <v>212</v>
      </c>
      <c r="G44" s="17" t="s">
        <v>212</v>
      </c>
      <c r="H44" s="17" t="s">
        <v>212</v>
      </c>
      <c r="I44" s="17" t="s">
        <v>212</v>
      </c>
    </row>
    <row r="45" spans="1:9" x14ac:dyDescent="0.3">
      <c r="A45" s="10" t="s">
        <v>59</v>
      </c>
      <c r="B45" s="9" t="s">
        <v>62</v>
      </c>
      <c r="C45" s="10" t="s">
        <v>63</v>
      </c>
      <c r="D45" s="10" t="s">
        <v>226</v>
      </c>
      <c r="E45" s="17" t="s">
        <v>212</v>
      </c>
      <c r="F45" s="17" t="s">
        <v>212</v>
      </c>
      <c r="G45" s="17" t="s">
        <v>212</v>
      </c>
      <c r="H45" s="17" t="s">
        <v>212</v>
      </c>
      <c r="I45" s="17" t="s">
        <v>212</v>
      </c>
    </row>
    <row r="46" spans="1:9" x14ac:dyDescent="0.3">
      <c r="A46" s="10" t="s">
        <v>59</v>
      </c>
      <c r="B46" s="9" t="s">
        <v>155</v>
      </c>
      <c r="C46" s="10" t="s">
        <v>154</v>
      </c>
      <c r="D46" s="10" t="s">
        <v>224</v>
      </c>
      <c r="E46" s="17" t="s">
        <v>212</v>
      </c>
      <c r="F46" s="17" t="s">
        <v>212</v>
      </c>
      <c r="G46" s="17" t="s">
        <v>212</v>
      </c>
      <c r="H46" s="17" t="s">
        <v>212</v>
      </c>
      <c r="I46" s="17" t="s">
        <v>212</v>
      </c>
    </row>
    <row r="47" spans="1:9" x14ac:dyDescent="0.3">
      <c r="A47" s="10" t="s">
        <v>59</v>
      </c>
      <c r="B47" s="9" t="s">
        <v>207</v>
      </c>
      <c r="C47" s="10" t="s">
        <v>208</v>
      </c>
      <c r="D47" s="10" t="s">
        <v>222</v>
      </c>
      <c r="E47" s="17" t="s">
        <v>212</v>
      </c>
      <c r="F47" s="17" t="s">
        <v>212</v>
      </c>
      <c r="G47" s="17" t="s">
        <v>212</v>
      </c>
      <c r="H47" s="17" t="s">
        <v>212</v>
      </c>
      <c r="I47" s="17" t="s">
        <v>212</v>
      </c>
    </row>
    <row r="48" spans="1:9" ht="26.4" x14ac:dyDescent="0.3">
      <c r="A48" s="10" t="s">
        <v>68</v>
      </c>
      <c r="B48" s="9" t="s">
        <v>66</v>
      </c>
      <c r="C48" s="10" t="s">
        <v>67</v>
      </c>
      <c r="D48" s="10" t="s">
        <v>226</v>
      </c>
      <c r="E48" s="17" t="s">
        <v>212</v>
      </c>
      <c r="F48" s="17" t="s">
        <v>212</v>
      </c>
      <c r="G48" s="17" t="s">
        <v>212</v>
      </c>
      <c r="H48" s="17" t="s">
        <v>212</v>
      </c>
      <c r="I48" s="17" t="s">
        <v>212</v>
      </c>
    </row>
    <row r="49" spans="1:9" x14ac:dyDescent="0.3">
      <c r="A49" s="10" t="s">
        <v>68</v>
      </c>
      <c r="B49" s="9" t="s">
        <v>70</v>
      </c>
      <c r="C49" s="10" t="s">
        <v>71</v>
      </c>
      <c r="D49" s="10" t="s">
        <v>226</v>
      </c>
      <c r="E49" s="17" t="s">
        <v>212</v>
      </c>
      <c r="F49" s="17" t="s">
        <v>212</v>
      </c>
      <c r="G49" s="17" t="s">
        <v>212</v>
      </c>
      <c r="H49" s="17" t="s">
        <v>212</v>
      </c>
      <c r="I49" s="17" t="s">
        <v>212</v>
      </c>
    </row>
    <row r="50" spans="1:9" x14ac:dyDescent="0.3">
      <c r="A50" s="10" t="s">
        <v>68</v>
      </c>
      <c r="B50" s="9" t="s">
        <v>72</v>
      </c>
      <c r="C50" s="10" t="s">
        <v>73</v>
      </c>
      <c r="D50" s="10" t="s">
        <v>226</v>
      </c>
      <c r="E50" s="17" t="s">
        <v>212</v>
      </c>
      <c r="F50" s="17" t="s">
        <v>212</v>
      </c>
      <c r="G50" s="17" t="s">
        <v>212</v>
      </c>
      <c r="H50" s="17" t="s">
        <v>212</v>
      </c>
      <c r="I50" s="17" t="s">
        <v>212</v>
      </c>
    </row>
    <row r="51" spans="1:9" x14ac:dyDescent="0.3">
      <c r="A51" s="13" t="s">
        <v>78</v>
      </c>
      <c r="B51" s="12" t="s">
        <v>76</v>
      </c>
      <c r="C51" s="13" t="s">
        <v>77</v>
      </c>
      <c r="D51" s="13" t="s">
        <v>226</v>
      </c>
      <c r="E51" s="18" t="s">
        <v>212</v>
      </c>
      <c r="F51" s="18" t="s">
        <v>212</v>
      </c>
      <c r="G51" s="18" t="s">
        <v>212</v>
      </c>
      <c r="H51" s="18" t="s">
        <v>212</v>
      </c>
      <c r="I51" s="18" t="s">
        <v>212</v>
      </c>
    </row>
    <row r="52" spans="1:9" x14ac:dyDescent="0.3">
      <c r="A52" s="13" t="s">
        <v>78</v>
      </c>
      <c r="B52" s="12" t="s">
        <v>194</v>
      </c>
      <c r="C52" s="13" t="s">
        <v>195</v>
      </c>
      <c r="D52" s="13" t="s">
        <v>225</v>
      </c>
      <c r="E52" s="18" t="s">
        <v>212</v>
      </c>
      <c r="F52" s="18" t="s">
        <v>212</v>
      </c>
      <c r="G52" s="18" t="s">
        <v>212</v>
      </c>
      <c r="H52" s="18" t="s">
        <v>212</v>
      </c>
      <c r="I52" s="18" t="s">
        <v>212</v>
      </c>
    </row>
    <row r="54" spans="1:9" x14ac:dyDescent="0.3">
      <c r="C54" s="15" t="s">
        <v>228</v>
      </c>
      <c r="E54" s="19">
        <f>COUNTIF(E2:E52,"✓")</f>
        <v>14</v>
      </c>
      <c r="F54" s="19">
        <f>COUNTIF(F2:F52,"✓")</f>
        <v>23</v>
      </c>
      <c r="G54" s="19">
        <f>COUNTIF(G2:G52,"✓")</f>
        <v>28</v>
      </c>
      <c r="H54" s="19">
        <f>COUNTIF(H2:H52,"✓")</f>
        <v>8</v>
      </c>
      <c r="I54" s="19">
        <f>COUNTIF(I2:I52,"✓")</f>
        <v>10</v>
      </c>
    </row>
    <row r="56" spans="1:9" x14ac:dyDescent="0.3">
      <c r="A56" s="23" t="s">
        <v>229</v>
      </c>
      <c r="B56" s="24"/>
      <c r="C56" s="24"/>
      <c r="D56" s="24"/>
      <c r="E56" s="24"/>
      <c r="F56" s="24"/>
      <c r="G56" s="24"/>
      <c r="H56" s="24"/>
      <c r="I56" s="24"/>
    </row>
  </sheetData>
  <mergeCells count="1">
    <mergeCell ref="A56:I5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6"/>
  <sheetViews>
    <sheetView workbookViewId="0">
      <pane xSplit="4" ySplit="1" topLeftCell="E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2" customWidth="1"/>
    <col min="2" max="2" width="24" customWidth="1"/>
    <col min="3" max="3" width="50" customWidth="1"/>
    <col min="4" max="4" width="20" customWidth="1"/>
    <col min="5" max="8" width="16" customWidth="1"/>
  </cols>
  <sheetData>
    <row r="1" spans="1:8" x14ac:dyDescent="0.3">
      <c r="A1" s="6" t="s">
        <v>23</v>
      </c>
      <c r="B1" s="6" t="s">
        <v>21</v>
      </c>
      <c r="C1" s="6" t="s">
        <v>22</v>
      </c>
      <c r="D1" s="6" t="s">
        <v>19</v>
      </c>
      <c r="E1" s="6" t="s">
        <v>230</v>
      </c>
      <c r="F1" s="6" t="s">
        <v>231</v>
      </c>
      <c r="G1" s="6" t="s">
        <v>232</v>
      </c>
      <c r="H1" s="6" t="s">
        <v>32</v>
      </c>
    </row>
    <row r="2" spans="1:8" x14ac:dyDescent="0.3">
      <c r="A2" s="10" t="s">
        <v>84</v>
      </c>
      <c r="B2" s="9" t="s">
        <v>82</v>
      </c>
      <c r="C2" s="10" t="s">
        <v>83</v>
      </c>
      <c r="D2" s="10" t="s">
        <v>220</v>
      </c>
      <c r="E2" s="17" t="s">
        <v>212</v>
      </c>
      <c r="F2" s="17" t="s">
        <v>212</v>
      </c>
      <c r="G2" s="17" t="s">
        <v>212</v>
      </c>
      <c r="H2" s="16" t="s">
        <v>221</v>
      </c>
    </row>
    <row r="3" spans="1:8" x14ac:dyDescent="0.3">
      <c r="A3" s="10" t="s">
        <v>84</v>
      </c>
      <c r="B3" s="9" t="s">
        <v>87</v>
      </c>
      <c r="C3" s="10" t="s">
        <v>88</v>
      </c>
      <c r="D3" s="10" t="s">
        <v>220</v>
      </c>
      <c r="E3" s="17" t="s">
        <v>212</v>
      </c>
      <c r="F3" s="17" t="s">
        <v>212</v>
      </c>
      <c r="G3" s="17" t="s">
        <v>212</v>
      </c>
      <c r="H3" s="16" t="s">
        <v>221</v>
      </c>
    </row>
    <row r="4" spans="1:8" x14ac:dyDescent="0.3">
      <c r="A4" s="10" t="s">
        <v>84</v>
      </c>
      <c r="B4" s="9" t="s">
        <v>89</v>
      </c>
      <c r="C4" s="10" t="s">
        <v>90</v>
      </c>
      <c r="D4" s="10" t="s">
        <v>220</v>
      </c>
      <c r="E4" s="17" t="s">
        <v>212</v>
      </c>
      <c r="F4" s="17" t="s">
        <v>212</v>
      </c>
      <c r="G4" s="17" t="s">
        <v>212</v>
      </c>
      <c r="H4" s="16" t="s">
        <v>221</v>
      </c>
    </row>
    <row r="5" spans="1:8" x14ac:dyDescent="0.3">
      <c r="A5" s="10" t="s">
        <v>84</v>
      </c>
      <c r="B5" s="9" t="s">
        <v>91</v>
      </c>
      <c r="C5" s="10" t="s">
        <v>92</v>
      </c>
      <c r="D5" s="10" t="s">
        <v>220</v>
      </c>
      <c r="E5" s="17" t="s">
        <v>212</v>
      </c>
      <c r="F5" s="17" t="s">
        <v>212</v>
      </c>
      <c r="G5" s="17" t="s">
        <v>212</v>
      </c>
      <c r="H5" s="16" t="s">
        <v>221</v>
      </c>
    </row>
    <row r="6" spans="1:8" x14ac:dyDescent="0.3">
      <c r="A6" s="10" t="s">
        <v>84</v>
      </c>
      <c r="B6" s="9" t="s">
        <v>94</v>
      </c>
      <c r="C6" s="10" t="s">
        <v>95</v>
      </c>
      <c r="D6" s="10" t="s">
        <v>220</v>
      </c>
      <c r="E6" s="17" t="s">
        <v>212</v>
      </c>
      <c r="F6" s="17" t="s">
        <v>212</v>
      </c>
      <c r="G6" s="17" t="s">
        <v>212</v>
      </c>
      <c r="H6" s="16" t="s">
        <v>221</v>
      </c>
    </row>
    <row r="7" spans="1:8" x14ac:dyDescent="0.3">
      <c r="A7" s="10" t="s">
        <v>84</v>
      </c>
      <c r="B7" s="9" t="s">
        <v>199</v>
      </c>
      <c r="C7" s="10" t="s">
        <v>200</v>
      </c>
      <c r="D7" s="10" t="s">
        <v>222</v>
      </c>
      <c r="E7" s="17" t="s">
        <v>212</v>
      </c>
      <c r="F7" s="17" t="s">
        <v>212</v>
      </c>
      <c r="G7" s="17" t="s">
        <v>212</v>
      </c>
      <c r="H7" s="16" t="s">
        <v>221</v>
      </c>
    </row>
    <row r="8" spans="1:8" x14ac:dyDescent="0.3">
      <c r="A8" s="10" t="s">
        <v>96</v>
      </c>
      <c r="B8" s="9" t="s">
        <v>97</v>
      </c>
      <c r="C8" s="10" t="s">
        <v>98</v>
      </c>
      <c r="D8" s="10" t="s">
        <v>220</v>
      </c>
      <c r="E8" s="17" t="s">
        <v>212</v>
      </c>
      <c r="F8" s="17" t="s">
        <v>212</v>
      </c>
      <c r="G8" s="17" t="s">
        <v>212</v>
      </c>
      <c r="H8" s="16" t="s">
        <v>221</v>
      </c>
    </row>
    <row r="9" spans="1:8" x14ac:dyDescent="0.3">
      <c r="A9" s="10" t="s">
        <v>96</v>
      </c>
      <c r="B9" s="9" t="s">
        <v>100</v>
      </c>
      <c r="C9" s="10" t="s">
        <v>101</v>
      </c>
      <c r="D9" s="10" t="s">
        <v>220</v>
      </c>
      <c r="E9" s="17" t="s">
        <v>212</v>
      </c>
      <c r="F9" s="17" t="s">
        <v>212</v>
      </c>
      <c r="G9" s="17" t="s">
        <v>212</v>
      </c>
      <c r="H9" s="16" t="s">
        <v>221</v>
      </c>
    </row>
    <row r="10" spans="1:8" x14ac:dyDescent="0.3">
      <c r="A10" s="10" t="s">
        <v>96</v>
      </c>
      <c r="B10" s="9" t="s">
        <v>102</v>
      </c>
      <c r="C10" s="10" t="s">
        <v>103</v>
      </c>
      <c r="D10" s="10" t="s">
        <v>220</v>
      </c>
      <c r="E10" s="17" t="s">
        <v>212</v>
      </c>
      <c r="F10" s="17" t="s">
        <v>212</v>
      </c>
      <c r="G10" s="17" t="s">
        <v>212</v>
      </c>
      <c r="H10" s="16" t="s">
        <v>221</v>
      </c>
    </row>
    <row r="11" spans="1:8" x14ac:dyDescent="0.3">
      <c r="A11" s="10" t="s">
        <v>96</v>
      </c>
      <c r="B11" s="9" t="s">
        <v>104</v>
      </c>
      <c r="C11" s="10" t="s">
        <v>105</v>
      </c>
      <c r="D11" s="10" t="s">
        <v>220</v>
      </c>
      <c r="E11" s="17" t="s">
        <v>212</v>
      </c>
      <c r="F11" s="17" t="s">
        <v>212</v>
      </c>
      <c r="G11" s="17" t="s">
        <v>212</v>
      </c>
      <c r="H11" s="16" t="s">
        <v>221</v>
      </c>
    </row>
    <row r="12" spans="1:8" x14ac:dyDescent="0.3">
      <c r="A12" s="10" t="s">
        <v>96</v>
      </c>
      <c r="B12" s="9" t="s">
        <v>106</v>
      </c>
      <c r="C12" s="10" t="s">
        <v>107</v>
      </c>
      <c r="D12" s="10" t="s">
        <v>220</v>
      </c>
      <c r="E12" s="17" t="s">
        <v>212</v>
      </c>
      <c r="F12" s="17" t="s">
        <v>212</v>
      </c>
      <c r="G12" s="17" t="s">
        <v>212</v>
      </c>
      <c r="H12" s="16" t="s">
        <v>221</v>
      </c>
    </row>
    <row r="13" spans="1:8" x14ac:dyDescent="0.3">
      <c r="A13" s="10" t="s">
        <v>96</v>
      </c>
      <c r="B13" s="9" t="s">
        <v>137</v>
      </c>
      <c r="C13" s="10" t="s">
        <v>138</v>
      </c>
      <c r="D13" s="10" t="s">
        <v>223</v>
      </c>
      <c r="E13" s="17" t="s">
        <v>212</v>
      </c>
      <c r="F13" s="17" t="s">
        <v>212</v>
      </c>
      <c r="G13" s="17" t="s">
        <v>212</v>
      </c>
      <c r="H13" s="16" t="s">
        <v>221</v>
      </c>
    </row>
    <row r="14" spans="1:8" x14ac:dyDescent="0.3">
      <c r="A14" s="10" t="s">
        <v>96</v>
      </c>
      <c r="B14" s="9" t="s">
        <v>140</v>
      </c>
      <c r="C14" s="10" t="s">
        <v>141</v>
      </c>
      <c r="D14" s="10" t="s">
        <v>223</v>
      </c>
      <c r="E14" s="17" t="s">
        <v>212</v>
      </c>
      <c r="F14" s="17" t="s">
        <v>212</v>
      </c>
      <c r="G14" s="17" t="s">
        <v>212</v>
      </c>
      <c r="H14" s="16" t="s">
        <v>221</v>
      </c>
    </row>
    <row r="15" spans="1:8" x14ac:dyDescent="0.3">
      <c r="A15" s="10" t="s">
        <v>96</v>
      </c>
      <c r="B15" s="9" t="s">
        <v>203</v>
      </c>
      <c r="C15" s="10" t="s">
        <v>204</v>
      </c>
      <c r="D15" s="10" t="s">
        <v>222</v>
      </c>
      <c r="E15" s="17" t="s">
        <v>212</v>
      </c>
      <c r="F15" s="17" t="s">
        <v>212</v>
      </c>
      <c r="G15" s="17" t="s">
        <v>212</v>
      </c>
      <c r="H15" s="16" t="s">
        <v>221</v>
      </c>
    </row>
    <row r="16" spans="1:8" ht="26.4" x14ac:dyDescent="0.3">
      <c r="A16" s="10" t="s">
        <v>96</v>
      </c>
      <c r="B16" s="9" t="s">
        <v>151</v>
      </c>
      <c r="C16" s="10" t="s">
        <v>152</v>
      </c>
      <c r="D16" s="10" t="s">
        <v>224</v>
      </c>
      <c r="E16" s="17" t="s">
        <v>212</v>
      </c>
      <c r="F16" s="17" t="s">
        <v>212</v>
      </c>
      <c r="G16" s="17" t="s">
        <v>212</v>
      </c>
      <c r="H16" s="16" t="s">
        <v>221</v>
      </c>
    </row>
    <row r="17" spans="1:8" x14ac:dyDescent="0.3">
      <c r="A17" s="10" t="s">
        <v>111</v>
      </c>
      <c r="B17" s="9" t="s">
        <v>109</v>
      </c>
      <c r="C17" s="10" t="s">
        <v>110</v>
      </c>
      <c r="D17" s="10" t="s">
        <v>220</v>
      </c>
      <c r="E17" s="17" t="s">
        <v>212</v>
      </c>
      <c r="F17" s="17" t="s">
        <v>212</v>
      </c>
      <c r="G17" s="17" t="s">
        <v>212</v>
      </c>
      <c r="H17" s="16" t="s">
        <v>221</v>
      </c>
    </row>
    <row r="18" spans="1:8" x14ac:dyDescent="0.3">
      <c r="A18" s="10" t="s">
        <v>111</v>
      </c>
      <c r="B18" s="9" t="s">
        <v>113</v>
      </c>
      <c r="C18" s="10" t="s">
        <v>114</v>
      </c>
      <c r="D18" s="10" t="s">
        <v>220</v>
      </c>
      <c r="E18" s="17" t="s">
        <v>212</v>
      </c>
      <c r="F18" s="17" t="s">
        <v>212</v>
      </c>
      <c r="G18" s="17" t="s">
        <v>212</v>
      </c>
      <c r="H18" s="16" t="s">
        <v>221</v>
      </c>
    </row>
    <row r="19" spans="1:8" x14ac:dyDescent="0.3">
      <c r="A19" s="10" t="s">
        <v>111</v>
      </c>
      <c r="B19" s="9" t="s">
        <v>115</v>
      </c>
      <c r="C19" s="10" t="s">
        <v>116</v>
      </c>
      <c r="D19" s="10" t="s">
        <v>220</v>
      </c>
      <c r="E19" s="17" t="s">
        <v>212</v>
      </c>
      <c r="F19" s="17" t="s">
        <v>212</v>
      </c>
      <c r="G19" s="17" t="s">
        <v>212</v>
      </c>
      <c r="H19" s="16" t="s">
        <v>221</v>
      </c>
    </row>
    <row r="20" spans="1:8" x14ac:dyDescent="0.3">
      <c r="A20" s="13" t="s">
        <v>184</v>
      </c>
      <c r="B20" s="12" t="s">
        <v>182</v>
      </c>
      <c r="C20" s="13" t="s">
        <v>183</v>
      </c>
      <c r="D20" s="13" t="s">
        <v>225</v>
      </c>
      <c r="E20" s="18" t="s">
        <v>212</v>
      </c>
      <c r="F20" s="18" t="s">
        <v>212</v>
      </c>
      <c r="G20" s="18" t="s">
        <v>212</v>
      </c>
      <c r="H20" s="20" t="s">
        <v>221</v>
      </c>
    </row>
    <row r="21" spans="1:8" ht="26.4" x14ac:dyDescent="0.3">
      <c r="A21" s="10" t="s">
        <v>30</v>
      </c>
      <c r="B21" s="9" t="s">
        <v>29</v>
      </c>
      <c r="C21" s="10" t="s">
        <v>28</v>
      </c>
      <c r="D21" s="10" t="s">
        <v>226</v>
      </c>
      <c r="E21" s="17" t="s">
        <v>212</v>
      </c>
      <c r="F21" s="17" t="s">
        <v>212</v>
      </c>
      <c r="G21" s="17" t="s">
        <v>212</v>
      </c>
      <c r="H21" s="16" t="s">
        <v>221</v>
      </c>
    </row>
    <row r="22" spans="1:8" ht="26.4" x14ac:dyDescent="0.3">
      <c r="A22" s="10" t="s">
        <v>30</v>
      </c>
      <c r="B22" s="9" t="s">
        <v>159</v>
      </c>
      <c r="C22" s="10" t="s">
        <v>160</v>
      </c>
      <c r="D22" s="10" t="s">
        <v>227</v>
      </c>
      <c r="E22" s="17" t="s">
        <v>212</v>
      </c>
      <c r="F22" s="17" t="s">
        <v>212</v>
      </c>
      <c r="G22" s="17" t="s">
        <v>212</v>
      </c>
      <c r="H22" s="16" t="s">
        <v>221</v>
      </c>
    </row>
    <row r="23" spans="1:8" ht="26.4" x14ac:dyDescent="0.3">
      <c r="A23" s="10" t="s">
        <v>30</v>
      </c>
      <c r="B23" s="9" t="s">
        <v>162</v>
      </c>
      <c r="C23" s="10" t="s">
        <v>163</v>
      </c>
      <c r="D23" s="10" t="s">
        <v>227</v>
      </c>
      <c r="E23" s="17" t="s">
        <v>212</v>
      </c>
      <c r="F23" s="17" t="s">
        <v>212</v>
      </c>
      <c r="G23" s="17" t="s">
        <v>212</v>
      </c>
      <c r="H23" s="16" t="s">
        <v>221</v>
      </c>
    </row>
    <row r="24" spans="1:8" ht="26.4" x14ac:dyDescent="0.3">
      <c r="A24" s="10" t="s">
        <v>30</v>
      </c>
      <c r="B24" s="9" t="s">
        <v>165</v>
      </c>
      <c r="C24" s="10" t="s">
        <v>166</v>
      </c>
      <c r="D24" s="10" t="s">
        <v>227</v>
      </c>
      <c r="E24" s="17" t="s">
        <v>212</v>
      </c>
      <c r="F24" s="17" t="s">
        <v>212</v>
      </c>
      <c r="G24" s="17" t="s">
        <v>212</v>
      </c>
      <c r="H24" s="16" t="s">
        <v>221</v>
      </c>
    </row>
    <row r="25" spans="1:8" ht="26.4" x14ac:dyDescent="0.3">
      <c r="A25" s="10" t="s">
        <v>30</v>
      </c>
      <c r="B25" s="9" t="s">
        <v>148</v>
      </c>
      <c r="C25" s="10" t="s">
        <v>147</v>
      </c>
      <c r="D25" s="10" t="s">
        <v>224</v>
      </c>
      <c r="E25" s="17" t="s">
        <v>212</v>
      </c>
      <c r="F25" s="17" t="s">
        <v>212</v>
      </c>
      <c r="G25" s="17" t="s">
        <v>212</v>
      </c>
      <c r="H25" s="16" t="s">
        <v>221</v>
      </c>
    </row>
    <row r="26" spans="1:8" ht="26.4" x14ac:dyDescent="0.3">
      <c r="A26" s="10" t="s">
        <v>30</v>
      </c>
      <c r="B26" s="9" t="s">
        <v>134</v>
      </c>
      <c r="C26" s="10" t="s">
        <v>135</v>
      </c>
      <c r="D26" s="10" t="s">
        <v>223</v>
      </c>
      <c r="E26" s="17" t="s">
        <v>212</v>
      </c>
      <c r="F26" s="17" t="s">
        <v>212</v>
      </c>
      <c r="G26" s="17" t="s">
        <v>212</v>
      </c>
      <c r="H26" s="16" t="s">
        <v>221</v>
      </c>
    </row>
    <row r="27" spans="1:8" ht="26.4" x14ac:dyDescent="0.3">
      <c r="A27" s="10" t="s">
        <v>30</v>
      </c>
      <c r="B27" s="9" t="s">
        <v>129</v>
      </c>
      <c r="C27" s="10" t="s">
        <v>130</v>
      </c>
      <c r="D27" s="10" t="s">
        <v>223</v>
      </c>
      <c r="E27" s="17" t="s">
        <v>212</v>
      </c>
      <c r="F27" s="17" t="s">
        <v>212</v>
      </c>
      <c r="G27" s="17" t="s">
        <v>212</v>
      </c>
      <c r="H27" s="16" t="s">
        <v>221</v>
      </c>
    </row>
    <row r="28" spans="1:8" ht="26.4" x14ac:dyDescent="0.3">
      <c r="A28" s="10" t="s">
        <v>30</v>
      </c>
      <c r="B28" s="9" t="s">
        <v>132</v>
      </c>
      <c r="C28" s="10" t="s">
        <v>133</v>
      </c>
      <c r="D28" s="10" t="s">
        <v>223</v>
      </c>
      <c r="E28" s="17" t="s">
        <v>212</v>
      </c>
      <c r="F28" s="17" t="s">
        <v>212</v>
      </c>
      <c r="G28" s="17" t="s">
        <v>212</v>
      </c>
      <c r="H28" s="16" t="s">
        <v>221</v>
      </c>
    </row>
    <row r="29" spans="1:8" ht="26.4" x14ac:dyDescent="0.3">
      <c r="A29" s="10" t="s">
        <v>171</v>
      </c>
      <c r="B29" s="9" t="s">
        <v>169</v>
      </c>
      <c r="C29" s="10" t="s">
        <v>170</v>
      </c>
      <c r="D29" s="10" t="s">
        <v>227</v>
      </c>
      <c r="E29" s="17" t="s">
        <v>212</v>
      </c>
      <c r="F29" s="17" t="s">
        <v>212</v>
      </c>
      <c r="G29" s="17" t="s">
        <v>212</v>
      </c>
      <c r="H29" s="16" t="s">
        <v>221</v>
      </c>
    </row>
    <row r="30" spans="1:8" ht="26.4" x14ac:dyDescent="0.3">
      <c r="A30" s="10" t="s">
        <v>171</v>
      </c>
      <c r="B30" s="9" t="s">
        <v>174</v>
      </c>
      <c r="C30" s="10" t="s">
        <v>175</v>
      </c>
      <c r="D30" s="10" t="s">
        <v>227</v>
      </c>
      <c r="E30" s="17" t="s">
        <v>212</v>
      </c>
      <c r="F30" s="17" t="s">
        <v>212</v>
      </c>
      <c r="G30" s="17" t="s">
        <v>212</v>
      </c>
      <c r="H30" s="16" t="s">
        <v>221</v>
      </c>
    </row>
    <row r="31" spans="1:8" x14ac:dyDescent="0.3">
      <c r="A31" s="10" t="s">
        <v>37</v>
      </c>
      <c r="B31" s="9" t="s">
        <v>35</v>
      </c>
      <c r="C31" s="10" t="s">
        <v>36</v>
      </c>
      <c r="D31" s="10" t="s">
        <v>226</v>
      </c>
      <c r="E31" s="16" t="s">
        <v>221</v>
      </c>
      <c r="F31" s="17" t="s">
        <v>212</v>
      </c>
      <c r="G31" s="16" t="s">
        <v>221</v>
      </c>
      <c r="H31" s="16" t="s">
        <v>221</v>
      </c>
    </row>
    <row r="32" spans="1:8" x14ac:dyDescent="0.3">
      <c r="A32" s="10" t="s">
        <v>37</v>
      </c>
      <c r="B32" s="9" t="s">
        <v>143</v>
      </c>
      <c r="C32" s="10" t="s">
        <v>144</v>
      </c>
      <c r="D32" s="10" t="s">
        <v>223</v>
      </c>
      <c r="E32" s="16" t="s">
        <v>221</v>
      </c>
      <c r="F32" s="17" t="s">
        <v>212</v>
      </c>
      <c r="G32" s="16" t="s">
        <v>221</v>
      </c>
      <c r="H32" s="16" t="s">
        <v>221</v>
      </c>
    </row>
    <row r="33" spans="1:8" x14ac:dyDescent="0.3">
      <c r="A33" s="10" t="s">
        <v>37</v>
      </c>
      <c r="B33" s="9" t="s">
        <v>47</v>
      </c>
      <c r="C33" s="10" t="s">
        <v>48</v>
      </c>
      <c r="D33" s="10" t="s">
        <v>226</v>
      </c>
      <c r="E33" s="16" t="s">
        <v>221</v>
      </c>
      <c r="F33" s="17" t="s">
        <v>212</v>
      </c>
      <c r="G33" s="16" t="s">
        <v>221</v>
      </c>
      <c r="H33" s="16" t="s">
        <v>221</v>
      </c>
    </row>
    <row r="34" spans="1:8" x14ac:dyDescent="0.3">
      <c r="A34" s="10" t="s">
        <v>37</v>
      </c>
      <c r="B34" s="9" t="s">
        <v>44</v>
      </c>
      <c r="C34" s="10" t="s">
        <v>45</v>
      </c>
      <c r="D34" s="10" t="s">
        <v>226</v>
      </c>
      <c r="E34" s="16" t="s">
        <v>221</v>
      </c>
      <c r="F34" s="17" t="s">
        <v>212</v>
      </c>
      <c r="G34" s="16" t="s">
        <v>221</v>
      </c>
      <c r="H34" s="16" t="s">
        <v>221</v>
      </c>
    </row>
    <row r="35" spans="1:8" x14ac:dyDescent="0.3">
      <c r="A35" s="10" t="s">
        <v>37</v>
      </c>
      <c r="B35" s="9" t="s">
        <v>41</v>
      </c>
      <c r="C35" s="10" t="s">
        <v>42</v>
      </c>
      <c r="D35" s="10" t="s">
        <v>226</v>
      </c>
      <c r="E35" s="16" t="s">
        <v>221</v>
      </c>
      <c r="F35" s="17" t="s">
        <v>212</v>
      </c>
      <c r="G35" s="16" t="s">
        <v>221</v>
      </c>
      <c r="H35" s="16" t="s">
        <v>221</v>
      </c>
    </row>
    <row r="36" spans="1:8" x14ac:dyDescent="0.3">
      <c r="A36" s="10" t="s">
        <v>37</v>
      </c>
      <c r="B36" s="9" t="s">
        <v>50</v>
      </c>
      <c r="C36" s="10" t="s">
        <v>51</v>
      </c>
      <c r="D36" s="10" t="s">
        <v>226</v>
      </c>
      <c r="E36" s="16" t="s">
        <v>221</v>
      </c>
      <c r="F36" s="17" t="s">
        <v>212</v>
      </c>
      <c r="G36" s="16" t="s">
        <v>221</v>
      </c>
      <c r="H36" s="16" t="s">
        <v>221</v>
      </c>
    </row>
    <row r="37" spans="1:8" x14ac:dyDescent="0.3">
      <c r="A37" s="10" t="s">
        <v>37</v>
      </c>
      <c r="B37" s="9" t="s">
        <v>53</v>
      </c>
      <c r="C37" s="10" t="s">
        <v>54</v>
      </c>
      <c r="D37" s="10" t="s">
        <v>226</v>
      </c>
      <c r="E37" s="16" t="s">
        <v>221</v>
      </c>
      <c r="F37" s="17" t="s">
        <v>212</v>
      </c>
      <c r="G37" s="16" t="s">
        <v>221</v>
      </c>
      <c r="H37" s="16" t="s">
        <v>221</v>
      </c>
    </row>
    <row r="38" spans="1:8" ht="26.4" x14ac:dyDescent="0.3">
      <c r="A38" s="10" t="s">
        <v>59</v>
      </c>
      <c r="B38" s="9" t="s">
        <v>177</v>
      </c>
      <c r="C38" s="10" t="s">
        <v>178</v>
      </c>
      <c r="D38" s="10" t="s">
        <v>227</v>
      </c>
      <c r="E38" s="17" t="s">
        <v>212</v>
      </c>
      <c r="F38" s="16" t="s">
        <v>221</v>
      </c>
      <c r="G38" s="16" t="s">
        <v>221</v>
      </c>
      <c r="H38" s="16" t="s">
        <v>221</v>
      </c>
    </row>
    <row r="39" spans="1:8" x14ac:dyDescent="0.3">
      <c r="A39" s="10" t="s">
        <v>59</v>
      </c>
      <c r="B39" s="9" t="s">
        <v>118</v>
      </c>
      <c r="C39" s="10" t="s">
        <v>119</v>
      </c>
      <c r="D39" s="10" t="s">
        <v>220</v>
      </c>
      <c r="E39" s="17" t="s">
        <v>212</v>
      </c>
      <c r="F39" s="16" t="s">
        <v>221</v>
      </c>
      <c r="G39" s="16" t="s">
        <v>221</v>
      </c>
      <c r="H39" s="16" t="s">
        <v>221</v>
      </c>
    </row>
    <row r="40" spans="1:8" x14ac:dyDescent="0.3">
      <c r="A40" s="10" t="s">
        <v>59</v>
      </c>
      <c r="B40" s="9" t="s">
        <v>121</v>
      </c>
      <c r="C40" s="10" t="s">
        <v>122</v>
      </c>
      <c r="D40" s="10" t="s">
        <v>220</v>
      </c>
      <c r="E40" s="17" t="s">
        <v>212</v>
      </c>
      <c r="F40" s="16" t="s">
        <v>221</v>
      </c>
      <c r="G40" s="16" t="s">
        <v>221</v>
      </c>
      <c r="H40" s="16" t="s">
        <v>221</v>
      </c>
    </row>
    <row r="41" spans="1:8" x14ac:dyDescent="0.3">
      <c r="A41" s="10" t="s">
        <v>59</v>
      </c>
      <c r="B41" s="9" t="s">
        <v>57</v>
      </c>
      <c r="C41" s="10" t="s">
        <v>58</v>
      </c>
      <c r="D41" s="10" t="s">
        <v>226</v>
      </c>
      <c r="E41" s="17" t="s">
        <v>212</v>
      </c>
      <c r="F41" s="16" t="s">
        <v>221</v>
      </c>
      <c r="G41" s="16" t="s">
        <v>221</v>
      </c>
      <c r="H41" s="16" t="s">
        <v>221</v>
      </c>
    </row>
    <row r="42" spans="1:8" x14ac:dyDescent="0.3">
      <c r="A42" s="10" t="s">
        <v>59</v>
      </c>
      <c r="B42" s="9" t="s">
        <v>187</v>
      </c>
      <c r="C42" s="10" t="s">
        <v>188</v>
      </c>
      <c r="D42" s="10" t="s">
        <v>225</v>
      </c>
      <c r="E42" s="17" t="s">
        <v>212</v>
      </c>
      <c r="F42" s="16" t="s">
        <v>221</v>
      </c>
      <c r="G42" s="16" t="s">
        <v>221</v>
      </c>
      <c r="H42" s="16" t="s">
        <v>221</v>
      </c>
    </row>
    <row r="43" spans="1:8" x14ac:dyDescent="0.3">
      <c r="A43" s="10" t="s">
        <v>59</v>
      </c>
      <c r="B43" s="9" t="s">
        <v>190</v>
      </c>
      <c r="C43" s="10" t="s">
        <v>191</v>
      </c>
      <c r="D43" s="10" t="s">
        <v>225</v>
      </c>
      <c r="E43" s="17" t="s">
        <v>212</v>
      </c>
      <c r="F43" s="16" t="s">
        <v>221</v>
      </c>
      <c r="G43" s="16" t="s">
        <v>221</v>
      </c>
      <c r="H43" s="16" t="s">
        <v>221</v>
      </c>
    </row>
    <row r="44" spans="1:8" x14ac:dyDescent="0.3">
      <c r="A44" s="10" t="s">
        <v>59</v>
      </c>
      <c r="B44" s="9" t="s">
        <v>124</v>
      </c>
      <c r="C44" s="10" t="s">
        <v>125</v>
      </c>
      <c r="D44" s="10" t="s">
        <v>220</v>
      </c>
      <c r="E44" s="17" t="s">
        <v>212</v>
      </c>
      <c r="F44" s="16" t="s">
        <v>221</v>
      </c>
      <c r="G44" s="16" t="s">
        <v>221</v>
      </c>
      <c r="H44" s="16" t="s">
        <v>221</v>
      </c>
    </row>
    <row r="45" spans="1:8" x14ac:dyDescent="0.3">
      <c r="A45" s="10" t="s">
        <v>59</v>
      </c>
      <c r="B45" s="9" t="s">
        <v>62</v>
      </c>
      <c r="C45" s="10" t="s">
        <v>63</v>
      </c>
      <c r="D45" s="10" t="s">
        <v>226</v>
      </c>
      <c r="E45" s="17" t="s">
        <v>212</v>
      </c>
      <c r="F45" s="16" t="s">
        <v>221</v>
      </c>
      <c r="G45" s="16" t="s">
        <v>221</v>
      </c>
      <c r="H45" s="16" t="s">
        <v>221</v>
      </c>
    </row>
    <row r="46" spans="1:8" x14ac:dyDescent="0.3">
      <c r="A46" s="10" t="s">
        <v>59</v>
      </c>
      <c r="B46" s="9" t="s">
        <v>155</v>
      </c>
      <c r="C46" s="10" t="s">
        <v>154</v>
      </c>
      <c r="D46" s="10" t="s">
        <v>224</v>
      </c>
      <c r="E46" s="17" t="s">
        <v>212</v>
      </c>
      <c r="F46" s="16" t="s">
        <v>221</v>
      </c>
      <c r="G46" s="16" t="s">
        <v>221</v>
      </c>
      <c r="H46" s="16" t="s">
        <v>221</v>
      </c>
    </row>
    <row r="47" spans="1:8" x14ac:dyDescent="0.3">
      <c r="A47" s="10" t="s">
        <v>59</v>
      </c>
      <c r="B47" s="9" t="s">
        <v>207</v>
      </c>
      <c r="C47" s="10" t="s">
        <v>208</v>
      </c>
      <c r="D47" s="10" t="s">
        <v>222</v>
      </c>
      <c r="E47" s="17" t="s">
        <v>212</v>
      </c>
      <c r="F47" s="16" t="s">
        <v>221</v>
      </c>
      <c r="G47" s="16" t="s">
        <v>221</v>
      </c>
      <c r="H47" s="16" t="s">
        <v>221</v>
      </c>
    </row>
    <row r="48" spans="1:8" ht="26.4" x14ac:dyDescent="0.3">
      <c r="A48" s="10" t="s">
        <v>68</v>
      </c>
      <c r="B48" s="9" t="s">
        <v>66</v>
      </c>
      <c r="C48" s="10" t="s">
        <v>67</v>
      </c>
      <c r="D48" s="10" t="s">
        <v>226</v>
      </c>
      <c r="E48" s="17" t="s">
        <v>212</v>
      </c>
      <c r="F48" s="17" t="s">
        <v>212</v>
      </c>
      <c r="G48" s="17" t="s">
        <v>212</v>
      </c>
      <c r="H48" s="16" t="s">
        <v>221</v>
      </c>
    </row>
    <row r="49" spans="1:8" x14ac:dyDescent="0.3">
      <c r="A49" s="10" t="s">
        <v>68</v>
      </c>
      <c r="B49" s="9" t="s">
        <v>70</v>
      </c>
      <c r="C49" s="10" t="s">
        <v>71</v>
      </c>
      <c r="D49" s="10" t="s">
        <v>226</v>
      </c>
      <c r="E49" s="17" t="s">
        <v>212</v>
      </c>
      <c r="F49" s="17" t="s">
        <v>212</v>
      </c>
      <c r="G49" s="17" t="s">
        <v>212</v>
      </c>
      <c r="H49" s="16" t="s">
        <v>221</v>
      </c>
    </row>
    <row r="50" spans="1:8" x14ac:dyDescent="0.3">
      <c r="A50" s="10" t="s">
        <v>68</v>
      </c>
      <c r="B50" s="9" t="s">
        <v>72</v>
      </c>
      <c r="C50" s="10" t="s">
        <v>73</v>
      </c>
      <c r="D50" s="10" t="s">
        <v>226</v>
      </c>
      <c r="E50" s="17" t="s">
        <v>212</v>
      </c>
      <c r="F50" s="17" t="s">
        <v>212</v>
      </c>
      <c r="G50" s="17" t="s">
        <v>212</v>
      </c>
      <c r="H50" s="16" t="s">
        <v>221</v>
      </c>
    </row>
    <row r="51" spans="1:8" x14ac:dyDescent="0.3">
      <c r="A51" s="13" t="s">
        <v>78</v>
      </c>
      <c r="B51" s="12" t="s">
        <v>76</v>
      </c>
      <c r="C51" s="13" t="s">
        <v>77</v>
      </c>
      <c r="D51" s="13" t="s">
        <v>226</v>
      </c>
      <c r="E51" s="18" t="s">
        <v>212</v>
      </c>
      <c r="F51" s="18" t="s">
        <v>212</v>
      </c>
      <c r="G51" s="18" t="s">
        <v>212</v>
      </c>
      <c r="H51" s="20" t="s">
        <v>221</v>
      </c>
    </row>
    <row r="52" spans="1:8" x14ac:dyDescent="0.3">
      <c r="A52" s="13" t="s">
        <v>78</v>
      </c>
      <c r="B52" s="12" t="s">
        <v>194</v>
      </c>
      <c r="C52" s="13" t="s">
        <v>195</v>
      </c>
      <c r="D52" s="13" t="s">
        <v>225</v>
      </c>
      <c r="E52" s="18" t="s">
        <v>212</v>
      </c>
      <c r="F52" s="18" t="s">
        <v>212</v>
      </c>
      <c r="G52" s="18" t="s">
        <v>212</v>
      </c>
      <c r="H52" s="20" t="s">
        <v>221</v>
      </c>
    </row>
    <row r="54" spans="1:8" x14ac:dyDescent="0.3">
      <c r="C54" s="15" t="s">
        <v>228</v>
      </c>
      <c r="E54" s="19">
        <f>COUNTIF(E2:E52,"✓")</f>
        <v>7</v>
      </c>
      <c r="F54" s="19">
        <f>COUNTIF(F2:F52,"✓")</f>
        <v>10</v>
      </c>
      <c r="G54" s="19">
        <f>COUNTIF(G2:G52,"✓")</f>
        <v>17</v>
      </c>
      <c r="H54" s="19">
        <f>COUNTIF(H2:H52,"✓")</f>
        <v>51</v>
      </c>
    </row>
    <row r="56" spans="1:8" x14ac:dyDescent="0.3">
      <c r="A56" s="23" t="s">
        <v>233</v>
      </c>
      <c r="B56" s="24"/>
      <c r="C56" s="24"/>
      <c r="D56" s="24"/>
      <c r="E56" s="24"/>
      <c r="F56" s="24"/>
      <c r="G56" s="24"/>
      <c r="H56" s="24"/>
    </row>
  </sheetData>
  <mergeCells count="1">
    <mergeCell ref="A56:H5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2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6" customWidth="1"/>
    <col min="2" max="2" width="30" customWidth="1"/>
    <col min="3" max="4" width="24" customWidth="1"/>
    <col min="5" max="5" width="22" customWidth="1"/>
    <col min="6" max="6" width="15" customWidth="1"/>
    <col min="7" max="7" width="30" customWidth="1"/>
    <col min="8" max="8" width="70" customWidth="1"/>
  </cols>
  <sheetData>
    <row r="1" spans="1:8" ht="26.4" x14ac:dyDescent="0.3">
      <c r="A1" s="6" t="s">
        <v>234</v>
      </c>
      <c r="B1" s="6" t="s">
        <v>235</v>
      </c>
      <c r="C1" s="6" t="s">
        <v>236</v>
      </c>
      <c r="D1" s="6" t="s">
        <v>237</v>
      </c>
      <c r="E1" s="6" t="s">
        <v>238</v>
      </c>
      <c r="F1" s="6" t="s">
        <v>239</v>
      </c>
      <c r="G1" s="6" t="s">
        <v>240</v>
      </c>
      <c r="H1" s="6" t="s">
        <v>241</v>
      </c>
    </row>
    <row r="2" spans="1:8" ht="26.4" x14ac:dyDescent="0.3">
      <c r="A2" s="12" t="s">
        <v>242</v>
      </c>
      <c r="B2" s="13" t="s">
        <v>243</v>
      </c>
      <c r="C2" s="13" t="s">
        <v>244</v>
      </c>
      <c r="D2" s="13" t="s">
        <v>212</v>
      </c>
      <c r="E2" s="12" t="s">
        <v>245</v>
      </c>
      <c r="F2" s="21" t="s">
        <v>246</v>
      </c>
      <c r="G2" s="22" t="s">
        <v>247</v>
      </c>
      <c r="H2" s="13" t="s">
        <v>248</v>
      </c>
    </row>
    <row r="3" spans="1:8" x14ac:dyDescent="0.3">
      <c r="A3" s="9" t="s">
        <v>249</v>
      </c>
      <c r="B3" s="10" t="s">
        <v>250</v>
      </c>
      <c r="C3" s="10" t="s">
        <v>251</v>
      </c>
      <c r="D3" s="10" t="s">
        <v>252</v>
      </c>
      <c r="E3" s="9" t="s">
        <v>35</v>
      </c>
      <c r="F3" s="10" t="s">
        <v>253</v>
      </c>
      <c r="G3" s="10"/>
      <c r="H3" s="10" t="s">
        <v>254</v>
      </c>
    </row>
    <row r="4" spans="1:8" x14ac:dyDescent="0.3">
      <c r="A4" s="9" t="s">
        <v>255</v>
      </c>
      <c r="B4" s="10" t="s">
        <v>256</v>
      </c>
      <c r="C4" s="10" t="s">
        <v>257</v>
      </c>
      <c r="D4" s="10" t="s">
        <v>258</v>
      </c>
      <c r="E4" s="9" t="s">
        <v>118</v>
      </c>
      <c r="F4" s="10" t="s">
        <v>253</v>
      </c>
      <c r="G4" s="10"/>
      <c r="H4" s="10" t="s">
        <v>254</v>
      </c>
    </row>
    <row r="5" spans="1:8" x14ac:dyDescent="0.3">
      <c r="A5" s="9" t="s">
        <v>259</v>
      </c>
      <c r="B5" s="10" t="s">
        <v>260</v>
      </c>
      <c r="C5" s="10" t="s">
        <v>257</v>
      </c>
      <c r="D5" s="10" t="s">
        <v>258</v>
      </c>
      <c r="E5" s="9" t="s">
        <v>62</v>
      </c>
      <c r="F5" s="10" t="s">
        <v>253</v>
      </c>
      <c r="G5" s="10"/>
      <c r="H5" s="10" t="s">
        <v>261</v>
      </c>
    </row>
    <row r="6" spans="1:8" x14ac:dyDescent="0.3">
      <c r="A6" s="9" t="s">
        <v>86</v>
      </c>
      <c r="B6" s="10" t="s">
        <v>262</v>
      </c>
      <c r="C6" s="10" t="s">
        <v>263</v>
      </c>
      <c r="D6" s="10" t="s">
        <v>264</v>
      </c>
      <c r="E6" s="9" t="s">
        <v>82</v>
      </c>
      <c r="F6" s="10" t="s">
        <v>253</v>
      </c>
      <c r="G6" s="10"/>
      <c r="H6" s="10" t="s">
        <v>254</v>
      </c>
    </row>
    <row r="7" spans="1:8" ht="26.4" x14ac:dyDescent="0.3">
      <c r="A7" s="9" t="s">
        <v>265</v>
      </c>
      <c r="B7" s="10" t="s">
        <v>266</v>
      </c>
      <c r="C7" s="10" t="s">
        <v>267</v>
      </c>
      <c r="D7" s="10" t="s">
        <v>268</v>
      </c>
      <c r="E7" s="9" t="s">
        <v>159</v>
      </c>
      <c r="F7" s="10" t="s">
        <v>253</v>
      </c>
      <c r="G7" s="10"/>
      <c r="H7" s="10" t="s">
        <v>269</v>
      </c>
    </row>
    <row r="8" spans="1:8" ht="26.4" x14ac:dyDescent="0.3">
      <c r="A8" s="12" t="s">
        <v>270</v>
      </c>
      <c r="B8" s="13" t="s">
        <v>271</v>
      </c>
      <c r="C8" s="13" t="s">
        <v>272</v>
      </c>
      <c r="D8" s="13" t="s">
        <v>271</v>
      </c>
      <c r="E8" s="12" t="s">
        <v>245</v>
      </c>
      <c r="F8" s="21" t="s">
        <v>246</v>
      </c>
      <c r="G8" s="22" t="s">
        <v>247</v>
      </c>
      <c r="H8" s="13" t="s">
        <v>273</v>
      </c>
    </row>
    <row r="9" spans="1:8" x14ac:dyDescent="0.3">
      <c r="A9" s="9" t="s">
        <v>274</v>
      </c>
      <c r="B9" s="10" t="s">
        <v>275</v>
      </c>
      <c r="C9" s="10" t="s">
        <v>276</v>
      </c>
      <c r="D9" s="10" t="s">
        <v>277</v>
      </c>
      <c r="E9" s="9" t="s">
        <v>72</v>
      </c>
      <c r="F9" s="10" t="s">
        <v>253</v>
      </c>
      <c r="G9" s="10"/>
      <c r="H9" s="10" t="s">
        <v>254</v>
      </c>
    </row>
    <row r="10" spans="1:8" x14ac:dyDescent="0.3">
      <c r="A10" s="9" t="s">
        <v>278</v>
      </c>
      <c r="B10" s="10" t="s">
        <v>279</v>
      </c>
      <c r="C10" s="10" t="s">
        <v>280</v>
      </c>
      <c r="D10" s="10" t="s">
        <v>281</v>
      </c>
      <c r="E10" s="9" t="s">
        <v>177</v>
      </c>
      <c r="F10" s="10" t="s">
        <v>253</v>
      </c>
      <c r="G10" s="10"/>
      <c r="H10" s="10" t="s">
        <v>254</v>
      </c>
    </row>
    <row r="11" spans="1:8" x14ac:dyDescent="0.3">
      <c r="A11" s="9" t="s">
        <v>282</v>
      </c>
      <c r="B11" s="10" t="s">
        <v>283</v>
      </c>
      <c r="C11" s="10" t="s">
        <v>280</v>
      </c>
      <c r="D11" s="10" t="s">
        <v>284</v>
      </c>
      <c r="E11" s="9" t="s">
        <v>177</v>
      </c>
      <c r="F11" s="10" t="s">
        <v>253</v>
      </c>
      <c r="G11" s="10"/>
      <c r="H11" s="10" t="s">
        <v>254</v>
      </c>
    </row>
    <row r="12" spans="1:8" x14ac:dyDescent="0.3">
      <c r="A12" s="9" t="s">
        <v>33</v>
      </c>
      <c r="B12" s="10" t="s">
        <v>285</v>
      </c>
      <c r="C12" s="10" t="s">
        <v>280</v>
      </c>
      <c r="D12" s="10" t="s">
        <v>284</v>
      </c>
      <c r="E12" s="9" t="s">
        <v>29</v>
      </c>
      <c r="F12" s="10" t="s">
        <v>253</v>
      </c>
      <c r="G12" s="10"/>
      <c r="H12" s="10" t="s">
        <v>254</v>
      </c>
    </row>
    <row r="13" spans="1:8" ht="26.4" x14ac:dyDescent="0.3">
      <c r="A13" s="12" t="s">
        <v>286</v>
      </c>
      <c r="B13" s="13" t="s">
        <v>287</v>
      </c>
      <c r="C13" s="13" t="s">
        <v>288</v>
      </c>
      <c r="D13" s="13" t="s">
        <v>289</v>
      </c>
      <c r="E13" s="12" t="s">
        <v>245</v>
      </c>
      <c r="F13" s="21" t="s">
        <v>246</v>
      </c>
      <c r="G13" s="22" t="s">
        <v>247</v>
      </c>
      <c r="H13" s="13" t="s">
        <v>290</v>
      </c>
    </row>
    <row r="14" spans="1:8" ht="26.4" x14ac:dyDescent="0.3">
      <c r="A14" s="9" t="s">
        <v>153</v>
      </c>
      <c r="B14" s="10" t="s">
        <v>291</v>
      </c>
      <c r="C14" s="10" t="s">
        <v>291</v>
      </c>
      <c r="D14" s="10" t="s">
        <v>292</v>
      </c>
      <c r="E14" s="9" t="s">
        <v>151</v>
      </c>
      <c r="F14" s="10" t="s">
        <v>253</v>
      </c>
      <c r="G14" s="10"/>
      <c r="H14" s="10" t="s">
        <v>293</v>
      </c>
    </row>
    <row r="15" spans="1:8" ht="26.4" x14ac:dyDescent="0.3">
      <c r="A15" s="9" t="s">
        <v>294</v>
      </c>
      <c r="B15" s="10" t="s">
        <v>295</v>
      </c>
      <c r="C15" s="10" t="s">
        <v>296</v>
      </c>
      <c r="D15" s="10" t="s">
        <v>297</v>
      </c>
      <c r="E15" s="9" t="s">
        <v>148</v>
      </c>
      <c r="F15" s="10" t="s">
        <v>253</v>
      </c>
      <c r="G15" s="10"/>
      <c r="H15" s="10" t="s">
        <v>298</v>
      </c>
    </row>
    <row r="16" spans="1:8" ht="26.4" x14ac:dyDescent="0.3">
      <c r="A16" s="9" t="s">
        <v>299</v>
      </c>
      <c r="B16" s="10" t="s">
        <v>300</v>
      </c>
      <c r="C16" s="10" t="s">
        <v>257</v>
      </c>
      <c r="D16" s="10" t="s">
        <v>301</v>
      </c>
      <c r="E16" s="9" t="s">
        <v>148</v>
      </c>
      <c r="F16" s="10" t="s">
        <v>253</v>
      </c>
      <c r="G16" s="10"/>
      <c r="H16" s="10" t="s">
        <v>254</v>
      </c>
    </row>
    <row r="17" spans="1:8" x14ac:dyDescent="0.3">
      <c r="A17" s="9" t="s">
        <v>302</v>
      </c>
      <c r="B17" s="10" t="s">
        <v>303</v>
      </c>
      <c r="C17" s="10" t="s">
        <v>296</v>
      </c>
      <c r="D17" s="10" t="s">
        <v>304</v>
      </c>
      <c r="E17" s="9" t="s">
        <v>62</v>
      </c>
      <c r="F17" s="10" t="s">
        <v>253</v>
      </c>
      <c r="G17" s="10"/>
      <c r="H17" s="10" t="s">
        <v>261</v>
      </c>
    </row>
    <row r="18" spans="1:8" x14ac:dyDescent="0.3">
      <c r="A18" s="9" t="s">
        <v>305</v>
      </c>
      <c r="B18" s="10" t="s">
        <v>306</v>
      </c>
      <c r="C18" s="10" t="s">
        <v>296</v>
      </c>
      <c r="D18" s="10" t="s">
        <v>304</v>
      </c>
      <c r="E18" s="9" t="s">
        <v>62</v>
      </c>
      <c r="F18" s="10" t="s">
        <v>253</v>
      </c>
      <c r="G18" s="10"/>
      <c r="H18" s="10" t="s">
        <v>261</v>
      </c>
    </row>
    <row r="19" spans="1:8" x14ac:dyDescent="0.3">
      <c r="A19" s="9" t="s">
        <v>307</v>
      </c>
      <c r="B19" s="10" t="s">
        <v>308</v>
      </c>
      <c r="C19" s="10" t="s">
        <v>296</v>
      </c>
      <c r="D19" s="10" t="s">
        <v>304</v>
      </c>
      <c r="E19" s="9" t="s">
        <v>62</v>
      </c>
      <c r="F19" s="10" t="s">
        <v>253</v>
      </c>
      <c r="G19" s="10"/>
      <c r="H19" s="10" t="s">
        <v>261</v>
      </c>
    </row>
    <row r="20" spans="1:8" x14ac:dyDescent="0.3">
      <c r="A20" s="9" t="s">
        <v>309</v>
      </c>
      <c r="B20" s="10" t="s">
        <v>310</v>
      </c>
      <c r="C20" s="10" t="s">
        <v>257</v>
      </c>
      <c r="D20" s="10" t="s">
        <v>301</v>
      </c>
      <c r="E20" s="9" t="s">
        <v>148</v>
      </c>
      <c r="F20" s="10" t="s">
        <v>253</v>
      </c>
      <c r="G20" s="10"/>
      <c r="H20" s="10" t="s">
        <v>254</v>
      </c>
    </row>
    <row r="21" spans="1:8" x14ac:dyDescent="0.3">
      <c r="A21" s="9" t="s">
        <v>311</v>
      </c>
      <c r="B21" s="10" t="s">
        <v>312</v>
      </c>
      <c r="C21" s="10" t="s">
        <v>257</v>
      </c>
      <c r="D21" s="10" t="s">
        <v>301</v>
      </c>
      <c r="E21" s="9" t="s">
        <v>148</v>
      </c>
      <c r="F21" s="10" t="s">
        <v>253</v>
      </c>
      <c r="G21" s="10"/>
      <c r="H21" s="10" t="s">
        <v>254</v>
      </c>
    </row>
    <row r="22" spans="1:8" x14ac:dyDescent="0.3">
      <c r="A22" s="9" t="s">
        <v>313</v>
      </c>
      <c r="B22" s="10" t="s">
        <v>314</v>
      </c>
      <c r="C22" s="10" t="s">
        <v>315</v>
      </c>
      <c r="D22" s="10" t="s">
        <v>314</v>
      </c>
      <c r="E22" s="9" t="s">
        <v>190</v>
      </c>
      <c r="F22" s="10" t="s">
        <v>253</v>
      </c>
      <c r="G22" s="10"/>
      <c r="H22" s="10" t="s">
        <v>261</v>
      </c>
    </row>
    <row r="23" spans="1:8" x14ac:dyDescent="0.3">
      <c r="A23" s="9" t="s">
        <v>316</v>
      </c>
      <c r="B23" s="10" t="s">
        <v>317</v>
      </c>
      <c r="C23" s="10" t="s">
        <v>251</v>
      </c>
      <c r="D23" s="10" t="s">
        <v>317</v>
      </c>
      <c r="E23" s="9" t="s">
        <v>35</v>
      </c>
      <c r="F23" s="10" t="s">
        <v>253</v>
      </c>
      <c r="G23" s="10"/>
      <c r="H23" s="10" t="s">
        <v>254</v>
      </c>
    </row>
    <row r="24" spans="1:8" ht="26.4" x14ac:dyDescent="0.3">
      <c r="A24" s="9" t="s">
        <v>318</v>
      </c>
      <c r="B24" s="10" t="s">
        <v>319</v>
      </c>
      <c r="C24" s="10" t="s">
        <v>320</v>
      </c>
      <c r="D24" s="10" t="s">
        <v>321</v>
      </c>
      <c r="E24" s="9" t="s">
        <v>62</v>
      </c>
      <c r="F24" s="10" t="s">
        <v>253</v>
      </c>
      <c r="G24" s="10"/>
      <c r="H24" s="10" t="s">
        <v>261</v>
      </c>
    </row>
    <row r="25" spans="1:8" ht="26.4" x14ac:dyDescent="0.3">
      <c r="A25" s="9" t="s">
        <v>322</v>
      </c>
      <c r="B25" s="10" t="s">
        <v>323</v>
      </c>
      <c r="C25" s="10" t="s">
        <v>320</v>
      </c>
      <c r="D25" s="10" t="s">
        <v>321</v>
      </c>
      <c r="E25" s="9" t="s">
        <v>62</v>
      </c>
      <c r="F25" s="10" t="s">
        <v>253</v>
      </c>
      <c r="G25" s="10"/>
      <c r="H25" s="10" t="s">
        <v>261</v>
      </c>
    </row>
    <row r="26" spans="1:8" ht="26.4" x14ac:dyDescent="0.3">
      <c r="A26" s="9" t="s">
        <v>324</v>
      </c>
      <c r="B26" s="10" t="s">
        <v>325</v>
      </c>
      <c r="C26" s="10" t="s">
        <v>320</v>
      </c>
      <c r="D26" s="10" t="s">
        <v>326</v>
      </c>
      <c r="E26" s="9" t="s">
        <v>162</v>
      </c>
      <c r="F26" s="10" t="s">
        <v>253</v>
      </c>
      <c r="G26" s="10"/>
      <c r="H26" s="10" t="s">
        <v>327</v>
      </c>
    </row>
    <row r="27" spans="1:8" x14ac:dyDescent="0.3">
      <c r="A27" s="9" t="s">
        <v>328</v>
      </c>
      <c r="B27" s="10" t="s">
        <v>329</v>
      </c>
      <c r="C27" s="10" t="s">
        <v>257</v>
      </c>
      <c r="D27" s="10" t="s">
        <v>330</v>
      </c>
      <c r="E27" s="9" t="s">
        <v>118</v>
      </c>
      <c r="F27" s="10" t="s">
        <v>253</v>
      </c>
      <c r="G27" s="10"/>
      <c r="H27" s="10" t="s">
        <v>254</v>
      </c>
    </row>
    <row r="28" spans="1:8" x14ac:dyDescent="0.3">
      <c r="A28" s="9" t="s">
        <v>331</v>
      </c>
      <c r="B28" s="10" t="s">
        <v>332</v>
      </c>
      <c r="C28" s="10" t="s">
        <v>257</v>
      </c>
      <c r="D28" s="10" t="s">
        <v>330</v>
      </c>
      <c r="E28" s="9" t="s">
        <v>62</v>
      </c>
      <c r="F28" s="10" t="s">
        <v>253</v>
      </c>
      <c r="G28" s="10"/>
      <c r="H28" s="10" t="s">
        <v>261</v>
      </c>
    </row>
    <row r="29" spans="1:8" ht="26.4" x14ac:dyDescent="0.3">
      <c r="A29" s="12" t="s">
        <v>333</v>
      </c>
      <c r="B29" s="13" t="s">
        <v>334</v>
      </c>
      <c r="C29" s="13" t="s">
        <v>272</v>
      </c>
      <c r="D29" s="13" t="s">
        <v>334</v>
      </c>
      <c r="E29" s="12" t="s">
        <v>335</v>
      </c>
      <c r="F29" s="21" t="s">
        <v>246</v>
      </c>
      <c r="G29" s="22" t="s">
        <v>336</v>
      </c>
      <c r="H29" s="13" t="s">
        <v>337</v>
      </c>
    </row>
    <row r="30" spans="1:8" x14ac:dyDescent="0.3">
      <c r="A30" s="9" t="s">
        <v>156</v>
      </c>
      <c r="B30" s="10" t="s">
        <v>338</v>
      </c>
      <c r="C30" s="10" t="s">
        <v>339</v>
      </c>
      <c r="D30" s="10" t="s">
        <v>338</v>
      </c>
      <c r="E30" s="9" t="s">
        <v>155</v>
      </c>
      <c r="F30" s="10" t="s">
        <v>253</v>
      </c>
      <c r="G30" s="10"/>
      <c r="H30" s="10" t="s">
        <v>254</v>
      </c>
    </row>
    <row r="31" spans="1:8" ht="26.4" x14ac:dyDescent="0.3">
      <c r="A31" s="12" t="s">
        <v>340</v>
      </c>
      <c r="B31" s="13" t="s">
        <v>341</v>
      </c>
      <c r="C31" s="13" t="s">
        <v>342</v>
      </c>
      <c r="D31" s="13" t="s">
        <v>343</v>
      </c>
      <c r="E31" s="12" t="s">
        <v>344</v>
      </c>
      <c r="F31" s="21" t="s">
        <v>246</v>
      </c>
      <c r="G31" s="22" t="s">
        <v>345</v>
      </c>
      <c r="H31" s="13" t="s">
        <v>346</v>
      </c>
    </row>
    <row r="32" spans="1:8" x14ac:dyDescent="0.3">
      <c r="A32" s="9" t="s">
        <v>347</v>
      </c>
      <c r="B32" s="10" t="s">
        <v>348</v>
      </c>
      <c r="C32" s="10" t="s">
        <v>349</v>
      </c>
      <c r="D32" s="10" t="s">
        <v>350</v>
      </c>
      <c r="E32" s="9" t="s">
        <v>44</v>
      </c>
      <c r="F32" s="10" t="s">
        <v>253</v>
      </c>
      <c r="G32" s="10"/>
      <c r="H32" s="10" t="s">
        <v>261</v>
      </c>
    </row>
    <row r="33" spans="1:8" x14ac:dyDescent="0.3">
      <c r="A33" s="9" t="s">
        <v>351</v>
      </c>
      <c r="B33" s="10" t="s">
        <v>352</v>
      </c>
      <c r="C33" s="10" t="s">
        <v>349</v>
      </c>
      <c r="D33" s="10" t="s">
        <v>350</v>
      </c>
      <c r="E33" s="9" t="s">
        <v>44</v>
      </c>
      <c r="F33" s="10" t="s">
        <v>253</v>
      </c>
      <c r="G33" s="10"/>
      <c r="H33" s="10" t="s">
        <v>261</v>
      </c>
    </row>
    <row r="34" spans="1:8" x14ac:dyDescent="0.3">
      <c r="A34" s="9" t="s">
        <v>353</v>
      </c>
      <c r="B34" s="10" t="s">
        <v>354</v>
      </c>
      <c r="C34" s="10" t="s">
        <v>349</v>
      </c>
      <c r="D34" s="10" t="s">
        <v>350</v>
      </c>
      <c r="E34" s="9" t="s">
        <v>44</v>
      </c>
      <c r="F34" s="10" t="s">
        <v>253</v>
      </c>
      <c r="G34" s="10"/>
      <c r="H34" s="10" t="s">
        <v>261</v>
      </c>
    </row>
    <row r="35" spans="1:8" x14ac:dyDescent="0.3">
      <c r="A35" s="9" t="s">
        <v>355</v>
      </c>
      <c r="B35" s="10" t="s">
        <v>356</v>
      </c>
      <c r="C35" s="10" t="s">
        <v>349</v>
      </c>
      <c r="D35" s="10" t="s">
        <v>350</v>
      </c>
      <c r="E35" s="9" t="s">
        <v>44</v>
      </c>
      <c r="F35" s="10" t="s">
        <v>253</v>
      </c>
      <c r="G35" s="10"/>
      <c r="H35" s="10" t="s">
        <v>357</v>
      </c>
    </row>
    <row r="36" spans="1:8" ht="26.4" x14ac:dyDescent="0.3">
      <c r="A36" s="12" t="s">
        <v>358</v>
      </c>
      <c r="B36" s="13" t="s">
        <v>359</v>
      </c>
      <c r="C36" s="13" t="s">
        <v>360</v>
      </c>
      <c r="D36" s="13" t="s">
        <v>361</v>
      </c>
      <c r="E36" s="12" t="s">
        <v>245</v>
      </c>
      <c r="F36" s="21" t="s">
        <v>246</v>
      </c>
      <c r="G36" s="22" t="s">
        <v>247</v>
      </c>
      <c r="H36" s="13" t="s">
        <v>362</v>
      </c>
    </row>
    <row r="37" spans="1:8" ht="26.4" x14ac:dyDescent="0.3">
      <c r="A37" s="12" t="s">
        <v>363</v>
      </c>
      <c r="B37" s="13" t="s">
        <v>364</v>
      </c>
      <c r="C37" s="13" t="s">
        <v>360</v>
      </c>
      <c r="D37" s="13" t="s">
        <v>361</v>
      </c>
      <c r="E37" s="12" t="s">
        <v>245</v>
      </c>
      <c r="F37" s="21" t="s">
        <v>246</v>
      </c>
      <c r="G37" s="22" t="s">
        <v>247</v>
      </c>
      <c r="H37" s="13" t="s">
        <v>365</v>
      </c>
    </row>
    <row r="38" spans="1:8" ht="26.4" x14ac:dyDescent="0.3">
      <c r="A38" s="12" t="s">
        <v>366</v>
      </c>
      <c r="B38" s="13" t="s">
        <v>367</v>
      </c>
      <c r="C38" s="13" t="s">
        <v>360</v>
      </c>
      <c r="D38" s="13" t="s">
        <v>361</v>
      </c>
      <c r="E38" s="12" t="s">
        <v>245</v>
      </c>
      <c r="F38" s="21" t="s">
        <v>246</v>
      </c>
      <c r="G38" s="22" t="s">
        <v>247</v>
      </c>
      <c r="H38" s="13" t="s">
        <v>365</v>
      </c>
    </row>
    <row r="39" spans="1:8" ht="26.4" x14ac:dyDescent="0.3">
      <c r="A39" s="9" t="s">
        <v>368</v>
      </c>
      <c r="B39" s="10" t="s">
        <v>369</v>
      </c>
      <c r="C39" s="10" t="s">
        <v>320</v>
      </c>
      <c r="D39" s="10" t="s">
        <v>370</v>
      </c>
      <c r="E39" s="9" t="s">
        <v>62</v>
      </c>
      <c r="F39" s="10" t="s">
        <v>253</v>
      </c>
      <c r="G39" s="10"/>
      <c r="H39" s="10" t="s">
        <v>261</v>
      </c>
    </row>
    <row r="40" spans="1:8" ht="26.4" x14ac:dyDescent="0.3">
      <c r="A40" s="9" t="s">
        <v>371</v>
      </c>
      <c r="B40" s="10" t="s">
        <v>372</v>
      </c>
      <c r="C40" s="10" t="s">
        <v>320</v>
      </c>
      <c r="D40" s="10" t="s">
        <v>370</v>
      </c>
      <c r="E40" s="9" t="s">
        <v>62</v>
      </c>
      <c r="F40" s="10" t="s">
        <v>253</v>
      </c>
      <c r="G40" s="10"/>
      <c r="H40" s="10" t="s">
        <v>261</v>
      </c>
    </row>
    <row r="41" spans="1:8" ht="26.4" x14ac:dyDescent="0.3">
      <c r="A41" s="9" t="s">
        <v>373</v>
      </c>
      <c r="B41" s="10" t="s">
        <v>374</v>
      </c>
      <c r="C41" s="10" t="s">
        <v>320</v>
      </c>
      <c r="D41" s="10" t="s">
        <v>370</v>
      </c>
      <c r="E41" s="9" t="s">
        <v>62</v>
      </c>
      <c r="F41" s="10" t="s">
        <v>253</v>
      </c>
      <c r="G41" s="10"/>
      <c r="H41" s="10" t="s">
        <v>261</v>
      </c>
    </row>
    <row r="42" spans="1:8" ht="26.4" x14ac:dyDescent="0.3">
      <c r="A42" s="9" t="s">
        <v>375</v>
      </c>
      <c r="B42" s="10" t="s">
        <v>376</v>
      </c>
      <c r="C42" s="10" t="s">
        <v>320</v>
      </c>
      <c r="D42" s="10" t="s">
        <v>377</v>
      </c>
      <c r="E42" s="9" t="s">
        <v>137</v>
      </c>
      <c r="F42" s="10" t="s">
        <v>253</v>
      </c>
      <c r="G42" s="10"/>
      <c r="H42" s="10" t="s">
        <v>378</v>
      </c>
    </row>
    <row r="43" spans="1:8" ht="26.4" x14ac:dyDescent="0.3">
      <c r="A43" s="9" t="s">
        <v>379</v>
      </c>
      <c r="B43" s="10" t="s">
        <v>380</v>
      </c>
      <c r="C43" s="10" t="s">
        <v>320</v>
      </c>
      <c r="D43" s="10" t="s">
        <v>377</v>
      </c>
      <c r="E43" s="9" t="s">
        <v>162</v>
      </c>
      <c r="F43" s="10" t="s">
        <v>253</v>
      </c>
      <c r="G43" s="10"/>
      <c r="H43" s="10" t="s">
        <v>381</v>
      </c>
    </row>
    <row r="44" spans="1:8" x14ac:dyDescent="0.3">
      <c r="A44" s="9" t="s">
        <v>382</v>
      </c>
      <c r="B44" s="10" t="s">
        <v>383</v>
      </c>
      <c r="C44" s="10" t="s">
        <v>384</v>
      </c>
      <c r="D44" s="10" t="s">
        <v>385</v>
      </c>
      <c r="E44" s="9" t="s">
        <v>62</v>
      </c>
      <c r="F44" s="10" t="s">
        <v>253</v>
      </c>
      <c r="G44" s="10"/>
      <c r="H44" s="10" t="s">
        <v>261</v>
      </c>
    </row>
    <row r="45" spans="1:8" x14ac:dyDescent="0.3">
      <c r="A45" s="9" t="s">
        <v>386</v>
      </c>
      <c r="B45" s="10" t="s">
        <v>387</v>
      </c>
      <c r="C45" s="10" t="s">
        <v>384</v>
      </c>
      <c r="D45" s="10" t="s">
        <v>385</v>
      </c>
      <c r="E45" s="9" t="s">
        <v>62</v>
      </c>
      <c r="F45" s="10" t="s">
        <v>253</v>
      </c>
      <c r="G45" s="10"/>
      <c r="H45" s="10" t="s">
        <v>261</v>
      </c>
    </row>
    <row r="46" spans="1:8" x14ac:dyDescent="0.3">
      <c r="A46" s="9" t="s">
        <v>388</v>
      </c>
      <c r="B46" s="10" t="s">
        <v>389</v>
      </c>
      <c r="C46" s="10" t="s">
        <v>384</v>
      </c>
      <c r="D46" s="10" t="s">
        <v>385</v>
      </c>
      <c r="E46" s="9" t="s">
        <v>62</v>
      </c>
      <c r="F46" s="10" t="s">
        <v>253</v>
      </c>
      <c r="G46" s="10"/>
      <c r="H46" s="10" t="s">
        <v>261</v>
      </c>
    </row>
    <row r="47" spans="1:8" x14ac:dyDescent="0.3">
      <c r="A47" s="9" t="s">
        <v>390</v>
      </c>
      <c r="B47" s="10" t="s">
        <v>391</v>
      </c>
      <c r="C47" s="10" t="s">
        <v>384</v>
      </c>
      <c r="D47" s="10" t="s">
        <v>391</v>
      </c>
      <c r="E47" s="9" t="s">
        <v>148</v>
      </c>
      <c r="F47" s="10" t="s">
        <v>253</v>
      </c>
      <c r="G47" s="10"/>
      <c r="H47" s="10" t="s">
        <v>254</v>
      </c>
    </row>
    <row r="48" spans="1:8" x14ac:dyDescent="0.3">
      <c r="A48" s="9" t="s">
        <v>392</v>
      </c>
      <c r="B48" s="10" t="s">
        <v>393</v>
      </c>
      <c r="C48" s="10" t="s">
        <v>384</v>
      </c>
      <c r="D48" s="10" t="s">
        <v>394</v>
      </c>
      <c r="E48" s="9" t="s">
        <v>62</v>
      </c>
      <c r="F48" s="10" t="s">
        <v>253</v>
      </c>
      <c r="G48" s="10"/>
      <c r="H48" s="10" t="s">
        <v>261</v>
      </c>
    </row>
    <row r="49" spans="1:8" x14ac:dyDescent="0.3">
      <c r="A49" s="9" t="s">
        <v>395</v>
      </c>
      <c r="B49" s="10" t="s">
        <v>396</v>
      </c>
      <c r="C49" s="10" t="s">
        <v>384</v>
      </c>
      <c r="D49" s="10" t="s">
        <v>394</v>
      </c>
      <c r="E49" s="9" t="s">
        <v>62</v>
      </c>
      <c r="F49" s="10" t="s">
        <v>253</v>
      </c>
      <c r="G49" s="10"/>
      <c r="H49" s="10" t="s">
        <v>261</v>
      </c>
    </row>
    <row r="50" spans="1:8" x14ac:dyDescent="0.3">
      <c r="A50" s="9" t="s">
        <v>397</v>
      </c>
      <c r="B50" s="10" t="s">
        <v>398</v>
      </c>
      <c r="C50" s="10" t="s">
        <v>384</v>
      </c>
      <c r="D50" s="10" t="s">
        <v>394</v>
      </c>
      <c r="E50" s="9" t="s">
        <v>62</v>
      </c>
      <c r="F50" s="10" t="s">
        <v>253</v>
      </c>
      <c r="G50" s="10"/>
      <c r="H50" s="10" t="s">
        <v>261</v>
      </c>
    </row>
    <row r="51" spans="1:8" x14ac:dyDescent="0.3">
      <c r="A51" s="9" t="s">
        <v>399</v>
      </c>
      <c r="B51" s="10" t="s">
        <v>400</v>
      </c>
      <c r="C51" s="10" t="s">
        <v>263</v>
      </c>
      <c r="D51" s="10" t="s">
        <v>401</v>
      </c>
      <c r="E51" s="9" t="s">
        <v>91</v>
      </c>
      <c r="F51" s="10" t="s">
        <v>253</v>
      </c>
      <c r="G51" s="10"/>
      <c r="H51" s="10" t="s">
        <v>254</v>
      </c>
    </row>
    <row r="52" spans="1:8" x14ac:dyDescent="0.3">
      <c r="A52" s="9" t="s">
        <v>402</v>
      </c>
      <c r="B52" s="10" t="s">
        <v>403</v>
      </c>
      <c r="C52" s="10" t="s">
        <v>263</v>
      </c>
      <c r="D52" s="10" t="s">
        <v>401</v>
      </c>
      <c r="E52" s="9" t="s">
        <v>91</v>
      </c>
      <c r="F52" s="10" t="s">
        <v>253</v>
      </c>
      <c r="G52" s="10"/>
      <c r="H52" s="10" t="s">
        <v>254</v>
      </c>
    </row>
    <row r="53" spans="1:8" ht="26.4" x14ac:dyDescent="0.3">
      <c r="A53" s="12" t="s">
        <v>404</v>
      </c>
      <c r="B53" s="13" t="s">
        <v>405</v>
      </c>
      <c r="C53" s="13" t="s">
        <v>406</v>
      </c>
      <c r="D53" s="13" t="s">
        <v>407</v>
      </c>
      <c r="E53" s="12" t="s">
        <v>344</v>
      </c>
      <c r="F53" s="21" t="s">
        <v>246</v>
      </c>
      <c r="G53" s="22" t="s">
        <v>345</v>
      </c>
      <c r="H53" s="13" t="s">
        <v>408</v>
      </c>
    </row>
    <row r="54" spans="1:8" x14ac:dyDescent="0.3">
      <c r="A54" s="9" t="s">
        <v>409</v>
      </c>
      <c r="B54" s="10" t="s">
        <v>410</v>
      </c>
      <c r="C54" s="10" t="s">
        <v>257</v>
      </c>
      <c r="D54" s="10" t="s">
        <v>411</v>
      </c>
      <c r="E54" s="9" t="s">
        <v>137</v>
      </c>
      <c r="F54" s="10" t="s">
        <v>253</v>
      </c>
      <c r="G54" s="10"/>
      <c r="H54" s="10" t="s">
        <v>261</v>
      </c>
    </row>
    <row r="55" spans="1:8" x14ac:dyDescent="0.3">
      <c r="A55" s="9" t="s">
        <v>412</v>
      </c>
      <c r="B55" s="10" t="s">
        <v>413</v>
      </c>
      <c r="C55" s="10" t="s">
        <v>360</v>
      </c>
      <c r="D55" s="10" t="s">
        <v>414</v>
      </c>
      <c r="E55" s="9" t="s">
        <v>190</v>
      </c>
      <c r="F55" s="10" t="s">
        <v>253</v>
      </c>
      <c r="G55" s="10"/>
      <c r="H55" s="10" t="s">
        <v>415</v>
      </c>
    </row>
    <row r="56" spans="1:8" x14ac:dyDescent="0.3">
      <c r="A56" s="9" t="s">
        <v>416</v>
      </c>
      <c r="B56" s="10" t="s">
        <v>417</v>
      </c>
      <c r="C56" s="10" t="s">
        <v>360</v>
      </c>
      <c r="D56" s="10" t="s">
        <v>414</v>
      </c>
      <c r="E56" s="9" t="s">
        <v>190</v>
      </c>
      <c r="F56" s="10" t="s">
        <v>253</v>
      </c>
      <c r="G56" s="10"/>
      <c r="H56" s="10" t="s">
        <v>261</v>
      </c>
    </row>
    <row r="57" spans="1:8" x14ac:dyDescent="0.3">
      <c r="A57" s="9" t="s">
        <v>418</v>
      </c>
      <c r="B57" s="10" t="s">
        <v>419</v>
      </c>
      <c r="C57" s="10" t="s">
        <v>360</v>
      </c>
      <c r="D57" s="10" t="s">
        <v>414</v>
      </c>
      <c r="E57" s="9" t="s">
        <v>190</v>
      </c>
      <c r="F57" s="10" t="s">
        <v>253</v>
      </c>
      <c r="G57" s="10"/>
      <c r="H57" s="10" t="s">
        <v>261</v>
      </c>
    </row>
    <row r="58" spans="1:8" x14ac:dyDescent="0.3">
      <c r="A58" s="9" t="s">
        <v>420</v>
      </c>
      <c r="B58" s="10" t="s">
        <v>421</v>
      </c>
      <c r="C58" s="10" t="s">
        <v>251</v>
      </c>
      <c r="D58" s="10" t="s">
        <v>422</v>
      </c>
      <c r="E58" s="9" t="s">
        <v>41</v>
      </c>
      <c r="F58" s="10" t="s">
        <v>253</v>
      </c>
      <c r="G58" s="10"/>
      <c r="H58" s="10" t="s">
        <v>254</v>
      </c>
    </row>
    <row r="59" spans="1:8" x14ac:dyDescent="0.3">
      <c r="A59" s="9" t="s">
        <v>423</v>
      </c>
      <c r="B59" s="10" t="s">
        <v>424</v>
      </c>
      <c r="C59" s="10" t="s">
        <v>257</v>
      </c>
      <c r="D59" s="10" t="s">
        <v>425</v>
      </c>
      <c r="E59" s="9" t="s">
        <v>57</v>
      </c>
      <c r="F59" s="10" t="s">
        <v>253</v>
      </c>
      <c r="G59" s="10"/>
      <c r="H59" s="10" t="s">
        <v>426</v>
      </c>
    </row>
    <row r="60" spans="1:8" x14ac:dyDescent="0.3">
      <c r="A60" s="9" t="s">
        <v>427</v>
      </c>
      <c r="B60" s="10" t="s">
        <v>428</v>
      </c>
      <c r="C60" s="10" t="s">
        <v>257</v>
      </c>
      <c r="D60" s="10" t="s">
        <v>429</v>
      </c>
      <c r="E60" s="9" t="s">
        <v>124</v>
      </c>
      <c r="F60" s="10" t="s">
        <v>253</v>
      </c>
      <c r="G60" s="10"/>
      <c r="H60" s="10" t="s">
        <v>254</v>
      </c>
    </row>
    <row r="61" spans="1:8" ht="26.4" x14ac:dyDescent="0.3">
      <c r="A61" s="9" t="s">
        <v>430</v>
      </c>
      <c r="B61" s="10" t="s">
        <v>431</v>
      </c>
      <c r="C61" s="10" t="s">
        <v>257</v>
      </c>
      <c r="D61" s="10" t="s">
        <v>432</v>
      </c>
      <c r="E61" s="9" t="s">
        <v>57</v>
      </c>
      <c r="F61" s="10" t="s">
        <v>253</v>
      </c>
      <c r="G61" s="10"/>
      <c r="H61" s="10" t="s">
        <v>261</v>
      </c>
    </row>
    <row r="62" spans="1:8" x14ac:dyDescent="0.3">
      <c r="A62" s="9" t="s">
        <v>433</v>
      </c>
      <c r="B62" s="10" t="s">
        <v>434</v>
      </c>
      <c r="C62" s="10" t="s">
        <v>257</v>
      </c>
      <c r="D62" s="10" t="s">
        <v>432</v>
      </c>
      <c r="E62" s="9" t="s">
        <v>148</v>
      </c>
      <c r="F62" s="10" t="s">
        <v>253</v>
      </c>
      <c r="G62" s="10"/>
      <c r="H62" s="10" t="s">
        <v>254</v>
      </c>
    </row>
    <row r="63" spans="1:8" x14ac:dyDescent="0.3">
      <c r="A63" s="9" t="s">
        <v>435</v>
      </c>
      <c r="B63" s="10" t="s">
        <v>436</v>
      </c>
      <c r="C63" s="10" t="s">
        <v>257</v>
      </c>
      <c r="D63" s="10" t="s">
        <v>437</v>
      </c>
      <c r="E63" s="9" t="s">
        <v>57</v>
      </c>
      <c r="F63" s="10" t="s">
        <v>253</v>
      </c>
      <c r="G63" s="10"/>
      <c r="H63" s="10" t="s">
        <v>261</v>
      </c>
    </row>
    <row r="64" spans="1:8" x14ac:dyDescent="0.3">
      <c r="A64" s="9" t="s">
        <v>438</v>
      </c>
      <c r="B64" s="10" t="s">
        <v>439</v>
      </c>
      <c r="C64" s="10" t="s">
        <v>257</v>
      </c>
      <c r="D64" s="10" t="s">
        <v>437</v>
      </c>
      <c r="E64" s="9" t="s">
        <v>159</v>
      </c>
      <c r="F64" s="10" t="s">
        <v>253</v>
      </c>
      <c r="G64" s="10"/>
      <c r="H64" s="10" t="s">
        <v>440</v>
      </c>
    </row>
    <row r="65" spans="1:8" ht="26.4" x14ac:dyDescent="0.3">
      <c r="A65" s="12" t="s">
        <v>441</v>
      </c>
      <c r="B65" s="13" t="s">
        <v>442</v>
      </c>
      <c r="C65" s="13" t="s">
        <v>257</v>
      </c>
      <c r="D65" s="13" t="s">
        <v>443</v>
      </c>
      <c r="E65" s="12" t="s">
        <v>245</v>
      </c>
      <c r="F65" s="21" t="s">
        <v>246</v>
      </c>
      <c r="G65" s="22" t="s">
        <v>247</v>
      </c>
      <c r="H65" s="13" t="s">
        <v>444</v>
      </c>
    </row>
    <row r="66" spans="1:8" ht="26.4" x14ac:dyDescent="0.3">
      <c r="A66" s="12" t="s">
        <v>445</v>
      </c>
      <c r="B66" s="13" t="s">
        <v>446</v>
      </c>
      <c r="C66" s="13" t="s">
        <v>257</v>
      </c>
      <c r="D66" s="13" t="s">
        <v>443</v>
      </c>
      <c r="E66" s="12" t="s">
        <v>245</v>
      </c>
      <c r="F66" s="21" t="s">
        <v>246</v>
      </c>
      <c r="G66" s="22" t="s">
        <v>247</v>
      </c>
      <c r="H66" s="13" t="s">
        <v>447</v>
      </c>
    </row>
    <row r="67" spans="1:8" ht="26.4" x14ac:dyDescent="0.3">
      <c r="A67" s="12" t="s">
        <v>448</v>
      </c>
      <c r="B67" s="13" t="s">
        <v>449</v>
      </c>
      <c r="C67" s="13" t="s">
        <v>257</v>
      </c>
      <c r="D67" s="13" t="s">
        <v>443</v>
      </c>
      <c r="E67" s="12" t="s">
        <v>245</v>
      </c>
      <c r="F67" s="21" t="s">
        <v>246</v>
      </c>
      <c r="G67" s="22" t="s">
        <v>247</v>
      </c>
      <c r="H67" s="13" t="s">
        <v>450</v>
      </c>
    </row>
    <row r="68" spans="1:8" x14ac:dyDescent="0.3">
      <c r="A68" s="9" t="s">
        <v>451</v>
      </c>
      <c r="B68" s="10" t="s">
        <v>452</v>
      </c>
      <c r="C68" s="10" t="s">
        <v>360</v>
      </c>
      <c r="D68" s="10" t="s">
        <v>453</v>
      </c>
      <c r="E68" s="9" t="s">
        <v>72</v>
      </c>
      <c r="F68" s="10" t="s">
        <v>253</v>
      </c>
      <c r="G68" s="10"/>
      <c r="H68" s="10" t="s">
        <v>254</v>
      </c>
    </row>
    <row r="69" spans="1:8" x14ac:dyDescent="0.3">
      <c r="A69" s="9" t="s">
        <v>454</v>
      </c>
      <c r="B69" s="10" t="s">
        <v>455</v>
      </c>
      <c r="C69" s="10" t="s">
        <v>360</v>
      </c>
      <c r="D69" s="10" t="s">
        <v>453</v>
      </c>
      <c r="E69" s="9" t="s">
        <v>72</v>
      </c>
      <c r="F69" s="10" t="s">
        <v>253</v>
      </c>
      <c r="G69" s="10"/>
      <c r="H69" s="10" t="s">
        <v>254</v>
      </c>
    </row>
    <row r="70" spans="1:8" x14ac:dyDescent="0.3">
      <c r="A70" s="9" t="s">
        <v>456</v>
      </c>
      <c r="B70" s="10" t="s">
        <v>457</v>
      </c>
      <c r="C70" s="10" t="s">
        <v>360</v>
      </c>
      <c r="D70" s="10" t="s">
        <v>453</v>
      </c>
      <c r="E70" s="9" t="s">
        <v>72</v>
      </c>
      <c r="F70" s="10" t="s">
        <v>253</v>
      </c>
      <c r="G70" s="10"/>
      <c r="H70" s="10" t="s">
        <v>254</v>
      </c>
    </row>
    <row r="71" spans="1:8" x14ac:dyDescent="0.3">
      <c r="A71" s="9" t="s">
        <v>458</v>
      </c>
      <c r="B71" s="10" t="s">
        <v>459</v>
      </c>
      <c r="C71" s="10" t="s">
        <v>360</v>
      </c>
      <c r="D71" s="10" t="s">
        <v>453</v>
      </c>
      <c r="E71" s="9" t="s">
        <v>169</v>
      </c>
      <c r="F71" s="10" t="s">
        <v>253</v>
      </c>
      <c r="G71" s="10"/>
      <c r="H71" s="10" t="s">
        <v>460</v>
      </c>
    </row>
    <row r="72" spans="1:8" x14ac:dyDescent="0.3">
      <c r="A72" s="9" t="s">
        <v>185</v>
      </c>
      <c r="B72" s="10" t="s">
        <v>461</v>
      </c>
      <c r="C72" s="10" t="s">
        <v>315</v>
      </c>
      <c r="D72" s="10" t="s">
        <v>462</v>
      </c>
      <c r="E72" s="9" t="s">
        <v>182</v>
      </c>
      <c r="F72" s="10" t="s">
        <v>253</v>
      </c>
      <c r="G72" s="10"/>
      <c r="H72" s="10" t="s">
        <v>463</v>
      </c>
    </row>
    <row r="73" spans="1:8" x14ac:dyDescent="0.3">
      <c r="A73" s="9" t="s">
        <v>464</v>
      </c>
      <c r="B73" s="10" t="s">
        <v>465</v>
      </c>
      <c r="C73" s="10" t="s">
        <v>342</v>
      </c>
      <c r="D73" s="10" t="s">
        <v>466</v>
      </c>
      <c r="E73" s="9" t="s">
        <v>41</v>
      </c>
      <c r="F73" s="10" t="s">
        <v>253</v>
      </c>
      <c r="G73" s="10"/>
      <c r="H73" s="10" t="s">
        <v>254</v>
      </c>
    </row>
    <row r="74" spans="1:8" ht="26.4" x14ac:dyDescent="0.3">
      <c r="A74" s="9" t="s">
        <v>467</v>
      </c>
      <c r="B74" s="10" t="s">
        <v>468</v>
      </c>
      <c r="C74" s="10" t="s">
        <v>320</v>
      </c>
      <c r="D74" s="10" t="s">
        <v>469</v>
      </c>
      <c r="E74" s="9" t="s">
        <v>143</v>
      </c>
      <c r="F74" s="10" t="s">
        <v>253</v>
      </c>
      <c r="G74" s="10"/>
      <c r="H74" s="10" t="s">
        <v>254</v>
      </c>
    </row>
    <row r="75" spans="1:8" ht="26.4" x14ac:dyDescent="0.3">
      <c r="A75" s="9" t="s">
        <v>470</v>
      </c>
      <c r="B75" s="10" t="s">
        <v>471</v>
      </c>
      <c r="C75" s="10" t="s">
        <v>320</v>
      </c>
      <c r="D75" s="10" t="s">
        <v>469</v>
      </c>
      <c r="E75" s="9" t="s">
        <v>143</v>
      </c>
      <c r="F75" s="10" t="s">
        <v>253</v>
      </c>
      <c r="G75" s="10"/>
      <c r="H75" s="10" t="s">
        <v>254</v>
      </c>
    </row>
    <row r="76" spans="1:8" ht="26.4" x14ac:dyDescent="0.3">
      <c r="A76" s="9" t="s">
        <v>472</v>
      </c>
      <c r="B76" s="10" t="s">
        <v>473</v>
      </c>
      <c r="C76" s="10" t="s">
        <v>320</v>
      </c>
      <c r="D76" s="10" t="s">
        <v>469</v>
      </c>
      <c r="E76" s="9" t="s">
        <v>143</v>
      </c>
      <c r="F76" s="10" t="s">
        <v>253</v>
      </c>
      <c r="G76" s="10"/>
      <c r="H76" s="10" t="s">
        <v>474</v>
      </c>
    </row>
    <row r="77" spans="1:8" x14ac:dyDescent="0.3">
      <c r="A77" s="9" t="s">
        <v>475</v>
      </c>
      <c r="B77" s="10" t="s">
        <v>476</v>
      </c>
      <c r="C77" s="10" t="s">
        <v>257</v>
      </c>
      <c r="D77" s="10" t="s">
        <v>477</v>
      </c>
      <c r="E77" s="9" t="s">
        <v>187</v>
      </c>
      <c r="F77" s="10" t="s">
        <v>253</v>
      </c>
      <c r="G77" s="10"/>
      <c r="H77" s="10" t="s">
        <v>254</v>
      </c>
    </row>
    <row r="78" spans="1:8" ht="26.4" x14ac:dyDescent="0.3">
      <c r="A78" s="9" t="s">
        <v>196</v>
      </c>
      <c r="B78" s="10" t="s">
        <v>478</v>
      </c>
      <c r="C78" s="10" t="s">
        <v>478</v>
      </c>
      <c r="D78" s="10" t="s">
        <v>478</v>
      </c>
      <c r="E78" s="9" t="s">
        <v>194</v>
      </c>
      <c r="F78" s="10" t="s">
        <v>253</v>
      </c>
      <c r="G78" s="10"/>
      <c r="H78" s="10" t="s">
        <v>479</v>
      </c>
    </row>
    <row r="79" spans="1:8" x14ac:dyDescent="0.3">
      <c r="A79" s="9" t="s">
        <v>480</v>
      </c>
      <c r="B79" s="10" t="s">
        <v>481</v>
      </c>
      <c r="C79" s="10" t="s">
        <v>482</v>
      </c>
      <c r="D79" s="10" t="s">
        <v>483</v>
      </c>
      <c r="E79" s="9" t="s">
        <v>187</v>
      </c>
      <c r="F79" s="10" t="s">
        <v>253</v>
      </c>
      <c r="G79" s="10"/>
      <c r="H79" s="10" t="s">
        <v>254</v>
      </c>
    </row>
    <row r="80" spans="1:8" ht="26.4" x14ac:dyDescent="0.3">
      <c r="A80" s="9" t="s">
        <v>484</v>
      </c>
      <c r="B80" s="10" t="s">
        <v>485</v>
      </c>
      <c r="C80" s="10" t="s">
        <v>320</v>
      </c>
      <c r="D80" s="10" t="s">
        <v>486</v>
      </c>
      <c r="E80" s="9" t="s">
        <v>47</v>
      </c>
      <c r="F80" s="10" t="s">
        <v>253</v>
      </c>
      <c r="G80" s="10"/>
      <c r="H80" s="10" t="s">
        <v>487</v>
      </c>
    </row>
    <row r="81" spans="1:8" ht="26.4" x14ac:dyDescent="0.3">
      <c r="A81" s="9" t="s">
        <v>488</v>
      </c>
      <c r="B81" s="10" t="s">
        <v>489</v>
      </c>
      <c r="C81" s="10" t="s">
        <v>320</v>
      </c>
      <c r="D81" s="10" t="s">
        <v>486</v>
      </c>
      <c r="E81" s="9" t="s">
        <v>47</v>
      </c>
      <c r="F81" s="10" t="s">
        <v>253</v>
      </c>
      <c r="G81" s="10"/>
      <c r="H81" s="10" t="s">
        <v>261</v>
      </c>
    </row>
    <row r="82" spans="1:8" ht="26.4" x14ac:dyDescent="0.3">
      <c r="A82" s="9" t="s">
        <v>490</v>
      </c>
      <c r="B82" s="10" t="s">
        <v>491</v>
      </c>
      <c r="C82" s="10" t="s">
        <v>320</v>
      </c>
      <c r="D82" s="10" t="s">
        <v>486</v>
      </c>
      <c r="E82" s="9" t="s">
        <v>47</v>
      </c>
      <c r="F82" s="10" t="s">
        <v>253</v>
      </c>
      <c r="G82" s="10"/>
      <c r="H82" s="10" t="s">
        <v>261</v>
      </c>
    </row>
    <row r="83" spans="1:8" ht="26.4" x14ac:dyDescent="0.3">
      <c r="A83" s="9" t="s">
        <v>209</v>
      </c>
      <c r="B83" s="10" t="s">
        <v>492</v>
      </c>
      <c r="C83" s="10" t="s">
        <v>493</v>
      </c>
      <c r="D83" s="10" t="s">
        <v>494</v>
      </c>
      <c r="E83" s="9" t="s">
        <v>207</v>
      </c>
      <c r="F83" s="10" t="s">
        <v>253</v>
      </c>
      <c r="G83" s="10"/>
      <c r="H83" s="10" t="s">
        <v>495</v>
      </c>
    </row>
    <row r="84" spans="1:8" x14ac:dyDescent="0.3">
      <c r="A84" s="9" t="s">
        <v>205</v>
      </c>
      <c r="B84" s="10" t="s">
        <v>496</v>
      </c>
      <c r="C84" s="10" t="s">
        <v>493</v>
      </c>
      <c r="D84" s="10" t="s">
        <v>497</v>
      </c>
      <c r="E84" s="9" t="s">
        <v>203</v>
      </c>
      <c r="F84" s="10" t="s">
        <v>253</v>
      </c>
      <c r="G84" s="10"/>
      <c r="H84" s="10" t="s">
        <v>498</v>
      </c>
    </row>
    <row r="85" spans="1:8" x14ac:dyDescent="0.3">
      <c r="A85" s="9" t="s">
        <v>201</v>
      </c>
      <c r="B85" s="10" t="s">
        <v>499</v>
      </c>
      <c r="C85" s="10" t="s">
        <v>493</v>
      </c>
      <c r="D85" s="10" t="s">
        <v>497</v>
      </c>
      <c r="E85" s="9" t="s">
        <v>199</v>
      </c>
      <c r="F85" s="10" t="s">
        <v>253</v>
      </c>
      <c r="G85" s="10"/>
      <c r="H85" s="10" t="s">
        <v>500</v>
      </c>
    </row>
    <row r="86" spans="1:8" x14ac:dyDescent="0.3">
      <c r="A86" s="9" t="s">
        <v>501</v>
      </c>
      <c r="B86" s="10" t="s">
        <v>502</v>
      </c>
      <c r="C86" s="10" t="s">
        <v>342</v>
      </c>
      <c r="D86" s="10" t="s">
        <v>503</v>
      </c>
      <c r="E86" s="9" t="s">
        <v>66</v>
      </c>
      <c r="F86" s="10" t="s">
        <v>253</v>
      </c>
      <c r="G86" s="10"/>
      <c r="H86" s="10" t="s">
        <v>504</v>
      </c>
    </row>
    <row r="87" spans="1:8" x14ac:dyDescent="0.3">
      <c r="A87" s="9" t="s">
        <v>505</v>
      </c>
      <c r="B87" s="10" t="s">
        <v>506</v>
      </c>
      <c r="C87" s="10" t="s">
        <v>507</v>
      </c>
      <c r="D87" s="10" t="s">
        <v>508</v>
      </c>
      <c r="E87" s="9" t="s">
        <v>129</v>
      </c>
      <c r="F87" s="10" t="s">
        <v>253</v>
      </c>
      <c r="G87" s="10"/>
      <c r="H87" s="10" t="s">
        <v>254</v>
      </c>
    </row>
    <row r="88" spans="1:8" ht="26.4" x14ac:dyDescent="0.3">
      <c r="A88" s="9" t="s">
        <v>509</v>
      </c>
      <c r="B88" s="10" t="s">
        <v>510</v>
      </c>
      <c r="C88" s="10" t="s">
        <v>320</v>
      </c>
      <c r="D88" s="10" t="s">
        <v>511</v>
      </c>
      <c r="E88" s="9" t="s">
        <v>66</v>
      </c>
      <c r="F88" s="10" t="s">
        <v>253</v>
      </c>
      <c r="G88" s="10"/>
      <c r="H88" s="10" t="s">
        <v>254</v>
      </c>
    </row>
    <row r="89" spans="1:8" ht="26.4" x14ac:dyDescent="0.3">
      <c r="A89" s="9" t="s">
        <v>512</v>
      </c>
      <c r="B89" s="10" t="s">
        <v>513</v>
      </c>
      <c r="C89" s="10" t="s">
        <v>320</v>
      </c>
      <c r="D89" s="10" t="s">
        <v>511</v>
      </c>
      <c r="E89" s="9" t="s">
        <v>66</v>
      </c>
      <c r="F89" s="10" t="s">
        <v>253</v>
      </c>
      <c r="G89" s="10"/>
      <c r="H89" s="10" t="s">
        <v>254</v>
      </c>
    </row>
    <row r="90" spans="1:8" ht="26.4" x14ac:dyDescent="0.3">
      <c r="A90" s="9" t="s">
        <v>514</v>
      </c>
      <c r="B90" s="10" t="s">
        <v>515</v>
      </c>
      <c r="C90" s="10" t="s">
        <v>320</v>
      </c>
      <c r="D90" s="10" t="s">
        <v>511</v>
      </c>
      <c r="E90" s="9" t="s">
        <v>62</v>
      </c>
      <c r="F90" s="10" t="s">
        <v>253</v>
      </c>
      <c r="G90" s="10"/>
      <c r="H90" s="10" t="s">
        <v>516</v>
      </c>
    </row>
    <row r="91" spans="1:8" ht="26.4" x14ac:dyDescent="0.3">
      <c r="A91" s="9" t="s">
        <v>517</v>
      </c>
      <c r="B91" s="10" t="s">
        <v>518</v>
      </c>
      <c r="C91" s="10" t="s">
        <v>320</v>
      </c>
      <c r="D91" s="10" t="s">
        <v>511</v>
      </c>
      <c r="E91" s="9" t="s">
        <v>62</v>
      </c>
      <c r="F91" s="10" t="s">
        <v>253</v>
      </c>
      <c r="G91" s="10"/>
      <c r="H91" s="10" t="s">
        <v>261</v>
      </c>
    </row>
    <row r="92" spans="1:8" ht="26.4" x14ac:dyDescent="0.3">
      <c r="A92" s="9" t="s">
        <v>519</v>
      </c>
      <c r="B92" s="10" t="s">
        <v>520</v>
      </c>
      <c r="C92" s="10" t="s">
        <v>320</v>
      </c>
      <c r="D92" s="10" t="s">
        <v>511</v>
      </c>
      <c r="E92" s="9" t="s">
        <v>62</v>
      </c>
      <c r="F92" s="10" t="s">
        <v>253</v>
      </c>
      <c r="G92" s="10"/>
      <c r="H92" s="10" t="s">
        <v>261</v>
      </c>
    </row>
    <row r="93" spans="1:8" ht="26.4" x14ac:dyDescent="0.3">
      <c r="A93" s="9" t="s">
        <v>521</v>
      </c>
      <c r="B93" s="10" t="s">
        <v>522</v>
      </c>
      <c r="C93" s="10" t="s">
        <v>320</v>
      </c>
      <c r="D93" s="10" t="s">
        <v>523</v>
      </c>
      <c r="E93" s="9" t="s">
        <v>137</v>
      </c>
      <c r="F93" s="10" t="s">
        <v>253</v>
      </c>
      <c r="G93" s="10"/>
      <c r="H93" s="10" t="s">
        <v>524</v>
      </c>
    </row>
    <row r="94" spans="1:8" ht="26.4" x14ac:dyDescent="0.3">
      <c r="A94" s="9" t="s">
        <v>525</v>
      </c>
      <c r="B94" s="10" t="s">
        <v>526</v>
      </c>
      <c r="C94" s="10" t="s">
        <v>320</v>
      </c>
      <c r="D94" s="10" t="s">
        <v>523</v>
      </c>
      <c r="E94" s="9" t="s">
        <v>137</v>
      </c>
      <c r="F94" s="10" t="s">
        <v>253</v>
      </c>
      <c r="G94" s="10"/>
      <c r="H94" s="10" t="s">
        <v>261</v>
      </c>
    </row>
    <row r="95" spans="1:8" ht="26.4" x14ac:dyDescent="0.3">
      <c r="A95" s="9" t="s">
        <v>527</v>
      </c>
      <c r="B95" s="10" t="s">
        <v>528</v>
      </c>
      <c r="C95" s="10" t="s">
        <v>320</v>
      </c>
      <c r="D95" s="10" t="s">
        <v>523</v>
      </c>
      <c r="E95" s="9" t="s">
        <v>129</v>
      </c>
      <c r="F95" s="10" t="s">
        <v>253</v>
      </c>
      <c r="G95" s="10"/>
      <c r="H95" s="10" t="s">
        <v>254</v>
      </c>
    </row>
    <row r="96" spans="1:8" ht="26.4" x14ac:dyDescent="0.3">
      <c r="A96" s="9" t="s">
        <v>529</v>
      </c>
      <c r="B96" s="10" t="s">
        <v>530</v>
      </c>
      <c r="C96" s="10" t="s">
        <v>320</v>
      </c>
      <c r="D96" s="10" t="s">
        <v>531</v>
      </c>
      <c r="E96" s="9" t="s">
        <v>66</v>
      </c>
      <c r="F96" s="10" t="s">
        <v>253</v>
      </c>
      <c r="G96" s="10"/>
      <c r="H96" s="10" t="s">
        <v>254</v>
      </c>
    </row>
    <row r="97" spans="1:8" ht="26.4" x14ac:dyDescent="0.3">
      <c r="A97" s="9" t="s">
        <v>532</v>
      </c>
      <c r="B97" s="10" t="s">
        <v>533</v>
      </c>
      <c r="C97" s="10" t="s">
        <v>320</v>
      </c>
      <c r="D97" s="10" t="s">
        <v>531</v>
      </c>
      <c r="E97" s="9" t="s">
        <v>66</v>
      </c>
      <c r="F97" s="10" t="s">
        <v>253</v>
      </c>
      <c r="G97" s="10"/>
      <c r="H97" s="10" t="s">
        <v>254</v>
      </c>
    </row>
    <row r="98" spans="1:8" ht="26.4" x14ac:dyDescent="0.3">
      <c r="A98" s="9" t="s">
        <v>534</v>
      </c>
      <c r="B98" s="10" t="s">
        <v>535</v>
      </c>
      <c r="C98" s="10" t="s">
        <v>320</v>
      </c>
      <c r="D98" s="10" t="s">
        <v>531</v>
      </c>
      <c r="E98" s="9" t="s">
        <v>118</v>
      </c>
      <c r="F98" s="10" t="s">
        <v>253</v>
      </c>
      <c r="G98" s="10"/>
      <c r="H98" s="10" t="s">
        <v>254</v>
      </c>
    </row>
    <row r="99" spans="1:8" ht="26.4" x14ac:dyDescent="0.3">
      <c r="A99" s="9" t="s">
        <v>536</v>
      </c>
      <c r="B99" s="10" t="s">
        <v>537</v>
      </c>
      <c r="C99" s="10" t="s">
        <v>320</v>
      </c>
      <c r="D99" s="10" t="s">
        <v>531</v>
      </c>
      <c r="E99" s="9" t="s">
        <v>118</v>
      </c>
      <c r="F99" s="10" t="s">
        <v>253</v>
      </c>
      <c r="G99" s="10"/>
      <c r="H99" s="10" t="s">
        <v>254</v>
      </c>
    </row>
    <row r="100" spans="1:8" ht="26.4" x14ac:dyDescent="0.3">
      <c r="A100" s="9" t="s">
        <v>538</v>
      </c>
      <c r="B100" s="10" t="s">
        <v>539</v>
      </c>
      <c r="C100" s="10" t="s">
        <v>320</v>
      </c>
      <c r="D100" s="10" t="s">
        <v>531</v>
      </c>
      <c r="E100" s="9" t="s">
        <v>118</v>
      </c>
      <c r="F100" s="10" t="s">
        <v>253</v>
      </c>
      <c r="G100" s="10"/>
      <c r="H100" s="10" t="s">
        <v>254</v>
      </c>
    </row>
    <row r="101" spans="1:8" ht="26.4" x14ac:dyDescent="0.3">
      <c r="A101" s="9" t="s">
        <v>540</v>
      </c>
      <c r="B101" s="10" t="s">
        <v>541</v>
      </c>
      <c r="C101" s="10" t="s">
        <v>542</v>
      </c>
      <c r="D101" s="10" t="s">
        <v>543</v>
      </c>
      <c r="E101" s="9" t="s">
        <v>124</v>
      </c>
      <c r="F101" s="10" t="s">
        <v>253</v>
      </c>
      <c r="G101" s="10"/>
      <c r="H101" s="10" t="s">
        <v>254</v>
      </c>
    </row>
    <row r="102" spans="1:8" x14ac:dyDescent="0.3">
      <c r="A102" s="9" t="s">
        <v>544</v>
      </c>
      <c r="B102" s="10" t="s">
        <v>545</v>
      </c>
      <c r="C102" s="10" t="s">
        <v>546</v>
      </c>
      <c r="D102" s="10" t="s">
        <v>547</v>
      </c>
      <c r="E102" s="9" t="s">
        <v>177</v>
      </c>
      <c r="F102" s="10" t="s">
        <v>253</v>
      </c>
      <c r="G102" s="10"/>
      <c r="H102" s="10" t="s">
        <v>254</v>
      </c>
    </row>
    <row r="103" spans="1:8" x14ac:dyDescent="0.3">
      <c r="A103" s="9" t="s">
        <v>548</v>
      </c>
      <c r="B103" s="10" t="s">
        <v>549</v>
      </c>
      <c r="C103" s="10" t="s">
        <v>550</v>
      </c>
      <c r="D103" s="10" t="s">
        <v>551</v>
      </c>
      <c r="E103" s="9" t="s">
        <v>165</v>
      </c>
      <c r="F103" s="10" t="s">
        <v>253</v>
      </c>
      <c r="G103" s="10"/>
      <c r="H103" s="10" t="s">
        <v>552</v>
      </c>
    </row>
    <row r="104" spans="1:8" x14ac:dyDescent="0.3">
      <c r="A104" s="9" t="s">
        <v>553</v>
      </c>
      <c r="B104" s="10" t="s">
        <v>554</v>
      </c>
      <c r="C104" s="10" t="s">
        <v>550</v>
      </c>
      <c r="D104" s="10" t="s">
        <v>555</v>
      </c>
      <c r="E104" s="9" t="s">
        <v>162</v>
      </c>
      <c r="F104" s="10" t="s">
        <v>253</v>
      </c>
      <c r="G104" s="10"/>
      <c r="H104" s="10" t="s">
        <v>556</v>
      </c>
    </row>
    <row r="105" spans="1:8" ht="26.4" x14ac:dyDescent="0.3">
      <c r="A105" s="9" t="s">
        <v>557</v>
      </c>
      <c r="B105" s="10" t="s">
        <v>558</v>
      </c>
      <c r="C105" s="10" t="s">
        <v>546</v>
      </c>
      <c r="D105" s="10" t="s">
        <v>559</v>
      </c>
      <c r="E105" s="9" t="s">
        <v>177</v>
      </c>
      <c r="F105" s="10" t="s">
        <v>253</v>
      </c>
      <c r="G105" s="10"/>
      <c r="H105" s="10" t="s">
        <v>254</v>
      </c>
    </row>
    <row r="106" spans="1:8" x14ac:dyDescent="0.3">
      <c r="A106" s="9" t="s">
        <v>560</v>
      </c>
      <c r="B106" s="10" t="s">
        <v>561</v>
      </c>
      <c r="C106" s="10" t="s">
        <v>546</v>
      </c>
      <c r="D106" s="10" t="s">
        <v>559</v>
      </c>
      <c r="E106" s="9" t="s">
        <v>169</v>
      </c>
      <c r="F106" s="10" t="s">
        <v>253</v>
      </c>
      <c r="G106" s="10"/>
      <c r="H106" s="10" t="s">
        <v>254</v>
      </c>
    </row>
    <row r="107" spans="1:8" x14ac:dyDescent="0.3">
      <c r="A107" s="9" t="s">
        <v>562</v>
      </c>
      <c r="B107" s="10" t="s">
        <v>563</v>
      </c>
      <c r="C107" s="10" t="s">
        <v>550</v>
      </c>
      <c r="D107" s="10" t="s">
        <v>563</v>
      </c>
      <c r="E107" s="9" t="s">
        <v>165</v>
      </c>
      <c r="F107" s="10" t="s">
        <v>253</v>
      </c>
      <c r="G107" s="10"/>
      <c r="H107" s="10" t="s">
        <v>254</v>
      </c>
    </row>
    <row r="108" spans="1:8" x14ac:dyDescent="0.3">
      <c r="A108" s="9" t="s">
        <v>55</v>
      </c>
      <c r="B108" s="10" t="s">
        <v>564</v>
      </c>
      <c r="C108" s="10" t="s">
        <v>251</v>
      </c>
      <c r="D108" s="10" t="s">
        <v>565</v>
      </c>
      <c r="E108" s="9" t="s">
        <v>53</v>
      </c>
      <c r="F108" s="10" t="s">
        <v>253</v>
      </c>
      <c r="G108" s="10"/>
      <c r="H108" s="10" t="s">
        <v>254</v>
      </c>
    </row>
    <row r="109" spans="1:8" ht="26.4" x14ac:dyDescent="0.3">
      <c r="A109" s="12" t="s">
        <v>566</v>
      </c>
      <c r="B109" s="13" t="s">
        <v>567</v>
      </c>
      <c r="C109" s="13" t="s">
        <v>568</v>
      </c>
      <c r="D109" s="13" t="s">
        <v>567</v>
      </c>
      <c r="E109" s="12" t="s">
        <v>245</v>
      </c>
      <c r="F109" s="21" t="s">
        <v>246</v>
      </c>
      <c r="G109" s="22" t="s">
        <v>247</v>
      </c>
      <c r="H109" s="13" t="s">
        <v>569</v>
      </c>
    </row>
    <row r="110" spans="1:8" x14ac:dyDescent="0.3">
      <c r="A110" s="9" t="s">
        <v>79</v>
      </c>
      <c r="B110" s="10" t="s">
        <v>570</v>
      </c>
      <c r="C110" s="10" t="s">
        <v>251</v>
      </c>
      <c r="D110" s="10" t="s">
        <v>570</v>
      </c>
      <c r="E110" s="9" t="s">
        <v>76</v>
      </c>
      <c r="F110" s="10" t="s">
        <v>253</v>
      </c>
      <c r="G110" s="10"/>
      <c r="H110" s="10" t="s">
        <v>254</v>
      </c>
    </row>
    <row r="111" spans="1:8" ht="26.4" x14ac:dyDescent="0.3">
      <c r="A111" s="12" t="s">
        <v>571</v>
      </c>
      <c r="B111" s="13" t="s">
        <v>572</v>
      </c>
      <c r="C111" s="13" t="s">
        <v>406</v>
      </c>
      <c r="D111" s="13" t="s">
        <v>407</v>
      </c>
      <c r="E111" s="12" t="s">
        <v>344</v>
      </c>
      <c r="F111" s="21" t="s">
        <v>246</v>
      </c>
      <c r="G111" s="22" t="s">
        <v>345</v>
      </c>
      <c r="H111" s="13" t="s">
        <v>408</v>
      </c>
    </row>
    <row r="112" spans="1:8" ht="26.4" x14ac:dyDescent="0.3">
      <c r="A112" s="12" t="s">
        <v>573</v>
      </c>
      <c r="B112" s="13" t="s">
        <v>574</v>
      </c>
      <c r="C112" s="13" t="s">
        <v>406</v>
      </c>
      <c r="D112" s="13" t="s">
        <v>407</v>
      </c>
      <c r="E112" s="12" t="s">
        <v>344</v>
      </c>
      <c r="F112" s="21" t="s">
        <v>246</v>
      </c>
      <c r="G112" s="22" t="s">
        <v>345</v>
      </c>
      <c r="H112" s="13" t="s">
        <v>575</v>
      </c>
    </row>
    <row r="113" spans="1:8" ht="26.4" x14ac:dyDescent="0.3">
      <c r="A113" s="9" t="s">
        <v>576</v>
      </c>
      <c r="B113" s="10" t="s">
        <v>577</v>
      </c>
      <c r="C113" s="10" t="s">
        <v>257</v>
      </c>
      <c r="D113" s="10" t="s">
        <v>578</v>
      </c>
      <c r="E113" s="9" t="s">
        <v>57</v>
      </c>
      <c r="F113" s="10" t="s">
        <v>253</v>
      </c>
      <c r="G113" s="10"/>
      <c r="H113" s="10" t="s">
        <v>261</v>
      </c>
    </row>
    <row r="114" spans="1:8" x14ac:dyDescent="0.3">
      <c r="A114" s="9" t="s">
        <v>579</v>
      </c>
      <c r="B114" s="10" t="s">
        <v>580</v>
      </c>
      <c r="C114" s="10" t="s">
        <v>257</v>
      </c>
      <c r="D114" s="10" t="s">
        <v>578</v>
      </c>
      <c r="E114" s="9" t="s">
        <v>148</v>
      </c>
      <c r="F114" s="10" t="s">
        <v>253</v>
      </c>
      <c r="G114" s="10"/>
      <c r="H114" s="10" t="s">
        <v>254</v>
      </c>
    </row>
    <row r="115" spans="1:8" ht="26.4" x14ac:dyDescent="0.3">
      <c r="A115" s="9" t="s">
        <v>581</v>
      </c>
      <c r="B115" s="10" t="s">
        <v>582</v>
      </c>
      <c r="C115" s="10" t="s">
        <v>320</v>
      </c>
      <c r="D115" s="10" t="s">
        <v>583</v>
      </c>
      <c r="E115" s="9" t="s">
        <v>66</v>
      </c>
      <c r="F115" s="10" t="s">
        <v>253</v>
      </c>
      <c r="G115" s="10"/>
      <c r="H115" s="10" t="s">
        <v>254</v>
      </c>
    </row>
    <row r="116" spans="1:8" ht="26.4" x14ac:dyDescent="0.3">
      <c r="A116" s="9" t="s">
        <v>584</v>
      </c>
      <c r="B116" s="10" t="s">
        <v>585</v>
      </c>
      <c r="C116" s="10" t="s">
        <v>320</v>
      </c>
      <c r="D116" s="10" t="s">
        <v>583</v>
      </c>
      <c r="E116" s="9" t="s">
        <v>66</v>
      </c>
      <c r="F116" s="10" t="s">
        <v>253</v>
      </c>
      <c r="G116" s="10"/>
      <c r="H116" s="10" t="s">
        <v>254</v>
      </c>
    </row>
    <row r="117" spans="1:8" ht="26.4" x14ac:dyDescent="0.3">
      <c r="A117" s="9" t="s">
        <v>586</v>
      </c>
      <c r="B117" s="10" t="s">
        <v>587</v>
      </c>
      <c r="C117" s="10" t="s">
        <v>320</v>
      </c>
      <c r="D117" s="10" t="s">
        <v>583</v>
      </c>
      <c r="E117" s="9" t="s">
        <v>121</v>
      </c>
      <c r="F117" s="10" t="s">
        <v>253</v>
      </c>
      <c r="G117" s="10"/>
      <c r="H117" s="10" t="s">
        <v>588</v>
      </c>
    </row>
    <row r="118" spans="1:8" ht="26.4" x14ac:dyDescent="0.3">
      <c r="A118" s="9" t="s">
        <v>589</v>
      </c>
      <c r="B118" s="10" t="s">
        <v>590</v>
      </c>
      <c r="C118" s="10" t="s">
        <v>320</v>
      </c>
      <c r="D118" s="10" t="s">
        <v>583</v>
      </c>
      <c r="E118" s="9" t="s">
        <v>121</v>
      </c>
      <c r="F118" s="10" t="s">
        <v>253</v>
      </c>
      <c r="G118" s="10"/>
      <c r="H118" s="10" t="s">
        <v>261</v>
      </c>
    </row>
    <row r="119" spans="1:8" ht="26.4" x14ac:dyDescent="0.3">
      <c r="A119" s="9" t="s">
        <v>591</v>
      </c>
      <c r="B119" s="10" t="s">
        <v>592</v>
      </c>
      <c r="C119" s="10" t="s">
        <v>320</v>
      </c>
      <c r="D119" s="10" t="s">
        <v>583</v>
      </c>
      <c r="E119" s="9" t="s">
        <v>121</v>
      </c>
      <c r="F119" s="10" t="s">
        <v>253</v>
      </c>
      <c r="G119" s="10"/>
      <c r="H119" s="10" t="s">
        <v>261</v>
      </c>
    </row>
    <row r="120" spans="1:8" x14ac:dyDescent="0.3">
      <c r="A120" s="9" t="s">
        <v>593</v>
      </c>
      <c r="B120" s="10" t="s">
        <v>594</v>
      </c>
      <c r="C120" s="10" t="s">
        <v>595</v>
      </c>
      <c r="D120" s="10" t="s">
        <v>596</v>
      </c>
      <c r="E120" s="9" t="s">
        <v>44</v>
      </c>
      <c r="F120" s="10" t="s">
        <v>253</v>
      </c>
      <c r="G120" s="10"/>
      <c r="H120" s="10" t="s">
        <v>261</v>
      </c>
    </row>
    <row r="121" spans="1:8" x14ac:dyDescent="0.3">
      <c r="A121" s="9" t="s">
        <v>597</v>
      </c>
      <c r="B121" s="10" t="s">
        <v>598</v>
      </c>
      <c r="C121" s="10" t="s">
        <v>595</v>
      </c>
      <c r="D121" s="10" t="s">
        <v>596</v>
      </c>
      <c r="E121" s="9" t="s">
        <v>44</v>
      </c>
      <c r="F121" s="10" t="s">
        <v>253</v>
      </c>
      <c r="G121" s="10"/>
      <c r="H121" s="10" t="s">
        <v>261</v>
      </c>
    </row>
    <row r="122" spans="1:8" x14ac:dyDescent="0.3">
      <c r="A122" s="9" t="s">
        <v>599</v>
      </c>
      <c r="B122" s="10" t="s">
        <v>600</v>
      </c>
      <c r="C122" s="10" t="s">
        <v>595</v>
      </c>
      <c r="D122" s="10" t="s">
        <v>596</v>
      </c>
      <c r="E122" s="9" t="s">
        <v>44</v>
      </c>
      <c r="F122" s="10" t="s">
        <v>253</v>
      </c>
      <c r="G122" s="10"/>
      <c r="H122" s="10" t="s">
        <v>261</v>
      </c>
    </row>
    <row r="124" spans="1:8" x14ac:dyDescent="0.3">
      <c r="A124" s="15" t="s">
        <v>601</v>
      </c>
      <c r="B124" s="15">
        <f>COUNTA(A2:A122)</f>
        <v>121</v>
      </c>
    </row>
    <row r="125" spans="1:8" x14ac:dyDescent="0.3">
      <c r="A125" s="15" t="s">
        <v>602</v>
      </c>
      <c r="B125" s="15">
        <f>COUNTIF(F2:F122,"YES")</f>
        <v>106</v>
      </c>
    </row>
    <row r="126" spans="1:8" x14ac:dyDescent="0.3">
      <c r="A126" s="15" t="s">
        <v>603</v>
      </c>
      <c r="B126" s="15">
        <f>COUNTIF(F2:F122,"NO — LEFT OUT")</f>
        <v>15</v>
      </c>
    </row>
    <row r="128" spans="1:8" x14ac:dyDescent="0.3">
      <c r="A128" s="23" t="s">
        <v>604</v>
      </c>
      <c r="B128" s="24"/>
      <c r="C128" s="24"/>
      <c r="D128" s="24"/>
      <c r="E128" s="24"/>
      <c r="F128" s="24"/>
      <c r="G128" s="24"/>
      <c r="H128" s="24"/>
    </row>
    <row r="129" spans="1:8" x14ac:dyDescent="0.3">
      <c r="A129" s="24"/>
      <c r="B129" s="24"/>
      <c r="C129" s="24"/>
      <c r="D129" s="24"/>
      <c r="E129" s="24"/>
      <c r="F129" s="24"/>
      <c r="G129" s="24"/>
      <c r="H129" s="24"/>
    </row>
  </sheetData>
  <mergeCells count="1">
    <mergeCell ref="A128:H1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 me</vt:lpstr>
      <vt:lpstr>Module - Feature - Permission</vt:lpstr>
      <vt:lpstr>Role x Permission</vt:lpstr>
      <vt:lpstr>Grant x Permission</vt:lpstr>
      <vt:lpstr>Legacy tag audit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mihir.sethi98@gmail.com</cp:lastModifiedBy>
  <dcterms:created xsi:type="dcterms:W3CDTF">2026-08-13T12:04:10Z</dcterms:created>
  <dcterms:modified xsi:type="dcterms:W3CDTF">2026-08-13T12:05:11Z</dcterms:modified>
</cp:coreProperties>
</file>